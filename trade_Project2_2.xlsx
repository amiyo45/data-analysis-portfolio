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849c0158cf9aea/Desktop/MS Office/"/>
    </mc:Choice>
  </mc:AlternateContent>
  <xr:revisionPtr revIDLastSave="11" documentId="8_{0BF9343F-7E09-4560-A3B1-2C88B9E71922}" xr6:coauthVersionLast="47" xr6:coauthVersionMax="47" xr10:uidLastSave="{D01C574B-57F7-419D-95F4-35A5F9FE91CF}"/>
  <bookViews>
    <workbookView xWindow="-110" yWindow="-110" windowWidth="19420" windowHeight="10300" xr2:uid="{2F3BA8AF-294D-4E62-9080-51DFFD1EFD65}"/>
  </bookViews>
  <sheets>
    <sheet name="Random_journal" sheetId="1" r:id="rId1"/>
    <sheet name="Weekly_analysis_sample" sheetId="2" r:id="rId2"/>
    <sheet name="Daily_Analysis_samp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5" i="2" l="1"/>
  <c r="D65" i="2" s="1"/>
  <c r="C64" i="2"/>
  <c r="D64" i="2" s="1"/>
  <c r="C63" i="2"/>
  <c r="D63" i="2" s="1"/>
  <c r="C62" i="2"/>
  <c r="D62" i="2" s="1"/>
  <c r="D61" i="2"/>
  <c r="C61" i="2"/>
  <c r="C60" i="2"/>
  <c r="D60" i="2" s="1"/>
  <c r="C59" i="2"/>
  <c r="D59" i="2" s="1"/>
  <c r="D58" i="2"/>
  <c r="C58" i="2"/>
  <c r="C57" i="2"/>
  <c r="D57" i="2" s="1"/>
  <c r="C56" i="2"/>
  <c r="D56" i="2" s="1"/>
  <c r="C55" i="2"/>
  <c r="D55" i="2" s="1"/>
  <c r="D54" i="2"/>
  <c r="C54" i="2"/>
  <c r="D53" i="2"/>
  <c r="C53" i="2"/>
  <c r="C52" i="2"/>
  <c r="D52" i="2" s="1"/>
  <c r="C51" i="2"/>
  <c r="D51" i="2" s="1"/>
  <c r="D50" i="2"/>
  <c r="C50" i="2"/>
  <c r="D49" i="2"/>
  <c r="C49" i="2"/>
  <c r="C48" i="2"/>
  <c r="D48" i="2" s="1"/>
  <c r="C47" i="2"/>
  <c r="D47" i="2" s="1"/>
  <c r="C46" i="2"/>
  <c r="D46" i="2" s="1"/>
  <c r="D45" i="2"/>
  <c r="C45" i="2"/>
  <c r="C44" i="2"/>
  <c r="D44" i="2" s="1"/>
  <c r="C43" i="2"/>
  <c r="D43" i="2" s="1"/>
  <c r="D42" i="2"/>
  <c r="C42" i="2"/>
  <c r="C41" i="2"/>
  <c r="D41" i="2" s="1"/>
  <c r="C40" i="2"/>
  <c r="D40" i="2" s="1"/>
  <c r="C39" i="2"/>
  <c r="D39" i="2" s="1"/>
  <c r="D38" i="2"/>
  <c r="C38" i="2"/>
  <c r="D37" i="2"/>
  <c r="C37" i="2"/>
  <c r="C36" i="2"/>
  <c r="D36" i="2" s="1"/>
  <c r="C35" i="2"/>
  <c r="D35" i="2" s="1"/>
  <c r="D34" i="2"/>
  <c r="C34" i="2"/>
  <c r="D33" i="2"/>
  <c r="C33" i="2"/>
  <c r="C32" i="2"/>
  <c r="D32" i="2" s="1"/>
  <c r="C31" i="2"/>
  <c r="D31" i="2" s="1"/>
  <c r="C30" i="2"/>
  <c r="D30" i="2" s="1"/>
  <c r="D29" i="2"/>
  <c r="C29" i="2"/>
  <c r="C28" i="2"/>
  <c r="D28" i="2" s="1"/>
  <c r="C27" i="2"/>
  <c r="D27" i="2" s="1"/>
  <c r="D26" i="2"/>
  <c r="C26" i="2"/>
  <c r="C25" i="2"/>
  <c r="D25" i="2" s="1"/>
  <c r="P147" i="1"/>
  <c r="O147" i="1"/>
  <c r="L147" i="1"/>
  <c r="M147" i="1" s="1"/>
  <c r="J147" i="1"/>
  <c r="O146" i="1"/>
  <c r="L146" i="1"/>
  <c r="M146" i="1" s="1"/>
  <c r="J146" i="1"/>
  <c r="P146" i="1" s="1"/>
  <c r="P145" i="1"/>
  <c r="O145" i="1"/>
  <c r="L145" i="1"/>
  <c r="M145" i="1" s="1"/>
  <c r="J145" i="1"/>
  <c r="O144" i="1"/>
  <c r="L144" i="1"/>
  <c r="M144" i="1" s="1"/>
  <c r="J144" i="1"/>
  <c r="O143" i="1"/>
  <c r="P143" i="1" s="1"/>
  <c r="L143" i="1"/>
  <c r="M143" i="1" s="1"/>
  <c r="J143" i="1"/>
  <c r="P142" i="1"/>
  <c r="O142" i="1"/>
  <c r="M142" i="1"/>
  <c r="L142" i="1"/>
  <c r="J142" i="1"/>
  <c r="O141" i="1"/>
  <c r="P141" i="1" s="1"/>
  <c r="M141" i="1"/>
  <c r="L141" i="1"/>
  <c r="J141" i="1"/>
  <c r="P140" i="1"/>
  <c r="O140" i="1"/>
  <c r="L140" i="1"/>
  <c r="M140" i="1" s="1"/>
  <c r="J140" i="1"/>
  <c r="P139" i="1"/>
  <c r="O139" i="1"/>
  <c r="L139" i="1"/>
  <c r="M139" i="1" s="1"/>
  <c r="J139" i="1"/>
  <c r="O138" i="1"/>
  <c r="P138" i="1" s="1"/>
  <c r="L138" i="1"/>
  <c r="M138" i="1" s="1"/>
  <c r="J138" i="1"/>
  <c r="P137" i="1"/>
  <c r="O137" i="1"/>
  <c r="L137" i="1"/>
  <c r="M137" i="1" s="1"/>
  <c r="J137" i="1"/>
  <c r="O136" i="1"/>
  <c r="P136" i="1" s="1"/>
  <c r="L136" i="1"/>
  <c r="M136" i="1" s="1"/>
  <c r="J136" i="1"/>
  <c r="O135" i="1"/>
  <c r="P135" i="1" s="1"/>
  <c r="L135" i="1"/>
  <c r="M135" i="1" s="1"/>
  <c r="J135" i="1"/>
  <c r="P134" i="1"/>
  <c r="O134" i="1"/>
  <c r="M134" i="1"/>
  <c r="L134" i="1"/>
  <c r="J134" i="1"/>
  <c r="O133" i="1"/>
  <c r="P133" i="1" s="1"/>
  <c r="M133" i="1"/>
  <c r="L133" i="1"/>
  <c r="J133" i="1"/>
  <c r="P132" i="1"/>
  <c r="O132" i="1"/>
  <c r="L132" i="1"/>
  <c r="M132" i="1" s="1"/>
  <c r="J132" i="1"/>
  <c r="P131" i="1"/>
  <c r="O131" i="1"/>
  <c r="L131" i="1"/>
  <c r="M131" i="1" s="1"/>
  <c r="J131" i="1"/>
  <c r="O130" i="1"/>
  <c r="L130" i="1"/>
  <c r="J130" i="1"/>
  <c r="M130" i="1" s="1"/>
  <c r="P129" i="1"/>
  <c r="O129" i="1"/>
  <c r="L129" i="1"/>
  <c r="M129" i="1" s="1"/>
  <c r="J129" i="1"/>
  <c r="O128" i="1"/>
  <c r="P128" i="1" s="1"/>
  <c r="L128" i="1"/>
  <c r="M128" i="1" s="1"/>
  <c r="J128" i="1"/>
  <c r="O127" i="1"/>
  <c r="P127" i="1" s="1"/>
  <c r="L127" i="1"/>
  <c r="M127" i="1" s="1"/>
  <c r="J127" i="1"/>
  <c r="O126" i="1"/>
  <c r="P126" i="1" s="1"/>
  <c r="M126" i="1"/>
  <c r="L126" i="1"/>
  <c r="J126" i="1"/>
  <c r="O125" i="1"/>
  <c r="P125" i="1" s="1"/>
  <c r="M125" i="1"/>
  <c r="L125" i="1"/>
  <c r="J125" i="1"/>
  <c r="P124" i="1"/>
  <c r="O124" i="1"/>
  <c r="L124" i="1"/>
  <c r="M124" i="1" s="1"/>
  <c r="J124" i="1"/>
  <c r="O123" i="1"/>
  <c r="P123" i="1" s="1"/>
  <c r="L123" i="1"/>
  <c r="M123" i="1" s="1"/>
  <c r="J123" i="1"/>
  <c r="O122" i="1"/>
  <c r="M122" i="1"/>
  <c r="L122" i="1"/>
  <c r="J122" i="1"/>
  <c r="P121" i="1"/>
  <c r="O121" i="1"/>
  <c r="L121" i="1"/>
  <c r="M121" i="1" s="1"/>
  <c r="J121" i="1"/>
  <c r="O120" i="1"/>
  <c r="P120" i="1" s="1"/>
  <c r="M120" i="1"/>
  <c r="L120" i="1"/>
  <c r="J120" i="1"/>
  <c r="O119" i="1"/>
  <c r="L119" i="1"/>
  <c r="J119" i="1"/>
  <c r="O118" i="1"/>
  <c r="P118" i="1" s="1"/>
  <c r="M118" i="1"/>
  <c r="L118" i="1"/>
  <c r="J118" i="1"/>
  <c r="O117" i="1"/>
  <c r="P117" i="1" s="1"/>
  <c r="L117" i="1"/>
  <c r="M117" i="1" s="1"/>
  <c r="J117" i="1"/>
  <c r="P116" i="1"/>
  <c r="O116" i="1"/>
  <c r="L116" i="1"/>
  <c r="J116" i="1"/>
  <c r="O115" i="1"/>
  <c r="P115" i="1" s="1"/>
  <c r="M115" i="1"/>
  <c r="L115" i="1"/>
  <c r="J115" i="1"/>
  <c r="O114" i="1"/>
  <c r="P114" i="1" s="1"/>
  <c r="L114" i="1"/>
  <c r="M114" i="1" s="1"/>
  <c r="J114" i="1"/>
  <c r="O113" i="1"/>
  <c r="P113" i="1" s="1"/>
  <c r="L113" i="1"/>
  <c r="M113" i="1" s="1"/>
  <c r="J113" i="1"/>
  <c r="P112" i="1"/>
  <c r="O112" i="1"/>
  <c r="M112" i="1"/>
  <c r="L112" i="1"/>
  <c r="J112" i="1"/>
  <c r="O111" i="1"/>
  <c r="L111" i="1"/>
  <c r="J111" i="1"/>
  <c r="P110" i="1"/>
  <c r="O110" i="1"/>
  <c r="M110" i="1"/>
  <c r="L110" i="1"/>
  <c r="J110" i="1"/>
  <c r="O109" i="1"/>
  <c r="P109" i="1" s="1"/>
  <c r="L109" i="1"/>
  <c r="M109" i="1" s="1"/>
  <c r="J109" i="1"/>
  <c r="P108" i="1"/>
  <c r="O108" i="1"/>
  <c r="L108" i="1"/>
  <c r="J108" i="1"/>
  <c r="P107" i="1"/>
  <c r="O107" i="1"/>
  <c r="M107" i="1"/>
  <c r="L107" i="1"/>
  <c r="J107" i="1"/>
  <c r="O106" i="1"/>
  <c r="L106" i="1"/>
  <c r="M106" i="1" s="1"/>
  <c r="J106" i="1"/>
  <c r="O105" i="1"/>
  <c r="P105" i="1" s="1"/>
  <c r="L105" i="1"/>
  <c r="M105" i="1" s="1"/>
  <c r="J105" i="1"/>
  <c r="P104" i="1"/>
  <c r="O104" i="1"/>
  <c r="L104" i="1"/>
  <c r="M104" i="1" s="1"/>
  <c r="J104" i="1"/>
  <c r="O103" i="1"/>
  <c r="P103" i="1" s="1"/>
  <c r="L103" i="1"/>
  <c r="M103" i="1" s="1"/>
  <c r="J103" i="1"/>
  <c r="P102" i="1"/>
  <c r="O102" i="1"/>
  <c r="M102" i="1"/>
  <c r="L102" i="1"/>
  <c r="J102" i="1"/>
  <c r="O101" i="1"/>
  <c r="P101" i="1" s="1"/>
  <c r="M101" i="1"/>
  <c r="L101" i="1"/>
  <c r="J101" i="1"/>
  <c r="O100" i="1"/>
  <c r="L100" i="1"/>
  <c r="M100" i="1" s="1"/>
  <c r="J100" i="1"/>
  <c r="P100" i="1" s="1"/>
  <c r="P99" i="1"/>
  <c r="O99" i="1"/>
  <c r="L99" i="1"/>
  <c r="M99" i="1" s="1"/>
  <c r="J99" i="1"/>
  <c r="O98" i="1"/>
  <c r="L98" i="1"/>
  <c r="J98" i="1"/>
  <c r="M98" i="1" s="1"/>
  <c r="P97" i="1"/>
  <c r="O97" i="1"/>
  <c r="L97" i="1"/>
  <c r="M97" i="1" s="1"/>
  <c r="O96" i="1"/>
  <c r="P96" i="1" s="1"/>
  <c r="L96" i="1"/>
  <c r="M96" i="1" s="1"/>
  <c r="J96" i="1"/>
  <c r="P95" i="1"/>
  <c r="O95" i="1"/>
  <c r="L95" i="1"/>
  <c r="J95" i="1"/>
  <c r="O94" i="1"/>
  <c r="P94" i="1" s="1"/>
  <c r="M94" i="1"/>
  <c r="L94" i="1"/>
  <c r="J94" i="1"/>
  <c r="O93" i="1"/>
  <c r="P93" i="1" s="1"/>
  <c r="L93" i="1"/>
  <c r="M93" i="1" s="1"/>
  <c r="J93" i="1"/>
  <c r="O92" i="1"/>
  <c r="P92" i="1" s="1"/>
  <c r="L92" i="1"/>
  <c r="M92" i="1" s="1"/>
  <c r="J92" i="1"/>
  <c r="P91" i="1"/>
  <c r="O91" i="1"/>
  <c r="M91" i="1"/>
  <c r="L91" i="1"/>
  <c r="J91" i="1"/>
  <c r="O90" i="1"/>
  <c r="L90" i="1"/>
  <c r="J90" i="1"/>
  <c r="P89" i="1"/>
  <c r="O89" i="1"/>
  <c r="M89" i="1"/>
  <c r="L89" i="1"/>
  <c r="J89" i="1"/>
  <c r="O88" i="1"/>
  <c r="P88" i="1" s="1"/>
  <c r="L88" i="1"/>
  <c r="M88" i="1" s="1"/>
  <c r="J88" i="1"/>
  <c r="P87" i="1"/>
  <c r="O87" i="1"/>
  <c r="L87" i="1"/>
  <c r="J87" i="1"/>
  <c r="P86" i="1"/>
  <c r="O86" i="1"/>
  <c r="M86" i="1"/>
  <c r="L86" i="1"/>
  <c r="J86" i="1"/>
  <c r="O85" i="1"/>
  <c r="L85" i="1"/>
  <c r="M85" i="1" s="1"/>
  <c r="J85" i="1"/>
  <c r="O84" i="1"/>
  <c r="P84" i="1" s="1"/>
  <c r="L84" i="1"/>
  <c r="M84" i="1" s="1"/>
  <c r="J84" i="1"/>
  <c r="P83" i="1"/>
  <c r="O83" i="1"/>
  <c r="L83" i="1"/>
  <c r="M83" i="1" s="1"/>
  <c r="J83" i="1"/>
  <c r="O82" i="1"/>
  <c r="P82" i="1" s="1"/>
  <c r="L82" i="1"/>
  <c r="M82" i="1" s="1"/>
  <c r="J82" i="1"/>
  <c r="P81" i="1"/>
  <c r="O81" i="1"/>
  <c r="M81" i="1"/>
  <c r="L81" i="1"/>
  <c r="J81" i="1"/>
  <c r="O80" i="1"/>
  <c r="P80" i="1" s="1"/>
  <c r="M80" i="1"/>
  <c r="L80" i="1"/>
  <c r="J80" i="1"/>
  <c r="O79" i="1"/>
  <c r="L79" i="1"/>
  <c r="M79" i="1" s="1"/>
  <c r="J79" i="1"/>
  <c r="P79" i="1" s="1"/>
  <c r="P78" i="1"/>
  <c r="O78" i="1"/>
  <c r="L78" i="1"/>
  <c r="M78" i="1" s="1"/>
  <c r="J78" i="1"/>
  <c r="O77" i="1"/>
  <c r="L77" i="1"/>
  <c r="J77" i="1"/>
  <c r="M77" i="1" s="1"/>
  <c r="P76" i="1"/>
  <c r="O76" i="1"/>
  <c r="L76" i="1"/>
  <c r="M76" i="1" s="1"/>
  <c r="J76" i="1"/>
  <c r="O75" i="1"/>
  <c r="P75" i="1" s="1"/>
  <c r="L75" i="1"/>
  <c r="M75" i="1" s="1"/>
  <c r="J75" i="1"/>
  <c r="O74" i="1"/>
  <c r="P74" i="1" s="1"/>
  <c r="L74" i="1"/>
  <c r="M74" i="1" s="1"/>
  <c r="J74" i="1"/>
  <c r="O73" i="1"/>
  <c r="P73" i="1" s="1"/>
  <c r="M73" i="1"/>
  <c r="L73" i="1"/>
  <c r="J73" i="1"/>
  <c r="L72" i="1"/>
  <c r="J72" i="1"/>
  <c r="O71" i="1"/>
  <c r="P71" i="1" s="1"/>
  <c r="M71" i="1"/>
  <c r="L71" i="1"/>
  <c r="J71" i="1"/>
  <c r="O70" i="1"/>
  <c r="P70" i="1" s="1"/>
  <c r="L70" i="1"/>
  <c r="M70" i="1" s="1"/>
  <c r="J70" i="1"/>
  <c r="O69" i="1"/>
  <c r="L69" i="1"/>
  <c r="J69" i="1"/>
  <c r="P69" i="1" s="1"/>
  <c r="P68" i="1"/>
  <c r="O68" i="1"/>
  <c r="M68" i="1"/>
  <c r="L68" i="1"/>
  <c r="J68" i="1"/>
  <c r="O67" i="1"/>
  <c r="P67" i="1" s="1"/>
  <c r="L67" i="1"/>
  <c r="M67" i="1" s="1"/>
  <c r="J67" i="1"/>
  <c r="O66" i="1"/>
  <c r="P66" i="1" s="1"/>
  <c r="L66" i="1"/>
  <c r="M66" i="1" s="1"/>
  <c r="J66" i="1"/>
  <c r="P65" i="1"/>
  <c r="O65" i="1"/>
  <c r="M65" i="1"/>
  <c r="L65" i="1"/>
  <c r="J65" i="1"/>
  <c r="O64" i="1"/>
  <c r="P64" i="1" s="1"/>
  <c r="L64" i="1"/>
  <c r="M64" i="1" s="1"/>
  <c r="J64" i="1"/>
  <c r="P63" i="1"/>
  <c r="O63" i="1"/>
  <c r="M63" i="1"/>
  <c r="L63" i="1"/>
  <c r="J63" i="1"/>
  <c r="O62" i="1"/>
  <c r="L62" i="1"/>
  <c r="J62" i="1"/>
  <c r="M62" i="1" s="1"/>
  <c r="O61" i="1"/>
  <c r="L61" i="1"/>
  <c r="M61" i="1" s="1"/>
  <c r="J61" i="1"/>
  <c r="P61" i="1" s="1"/>
  <c r="P60" i="1"/>
  <c r="O60" i="1"/>
  <c r="L60" i="1"/>
  <c r="M60" i="1" s="1"/>
  <c r="J60" i="1"/>
  <c r="O59" i="1"/>
  <c r="P59" i="1" s="1"/>
  <c r="M59" i="1"/>
  <c r="L59" i="1"/>
  <c r="J59" i="1"/>
  <c r="O58" i="1"/>
  <c r="P58" i="1" s="1"/>
  <c r="L58" i="1"/>
  <c r="M58" i="1" s="1"/>
  <c r="J58" i="1"/>
  <c r="P57" i="1"/>
  <c r="O57" i="1"/>
  <c r="L57" i="1"/>
  <c r="M57" i="1" s="1"/>
  <c r="J57" i="1"/>
  <c r="O56" i="1"/>
  <c r="P56" i="1" s="1"/>
  <c r="L56" i="1"/>
  <c r="M56" i="1" s="1"/>
  <c r="J56" i="1"/>
  <c r="P55" i="1"/>
  <c r="O55" i="1"/>
  <c r="M55" i="1"/>
  <c r="L55" i="1"/>
  <c r="J55" i="1"/>
  <c r="O54" i="1"/>
  <c r="L54" i="1"/>
  <c r="J54" i="1"/>
  <c r="M54" i="1" s="1"/>
  <c r="P53" i="1"/>
  <c r="O53" i="1"/>
  <c r="L53" i="1"/>
  <c r="M53" i="1" s="1"/>
  <c r="J53" i="1"/>
  <c r="O52" i="1"/>
  <c r="P52" i="1" s="1"/>
  <c r="L52" i="1"/>
  <c r="M52" i="1" s="1"/>
  <c r="J52" i="1"/>
  <c r="O51" i="1"/>
  <c r="P51" i="1" s="1"/>
  <c r="M51" i="1"/>
  <c r="L51" i="1"/>
  <c r="J51" i="1"/>
  <c r="P50" i="1"/>
  <c r="O50" i="1"/>
  <c r="L50" i="1"/>
  <c r="M50" i="1" s="1"/>
  <c r="J50" i="1"/>
  <c r="O49" i="1"/>
  <c r="P49" i="1" s="1"/>
  <c r="L49" i="1"/>
  <c r="M49" i="1" s="1"/>
  <c r="J49" i="1"/>
  <c r="O48" i="1"/>
  <c r="L48" i="1"/>
  <c r="M48" i="1" s="1"/>
  <c r="J48" i="1"/>
  <c r="O47" i="1"/>
  <c r="P47" i="1" s="1"/>
  <c r="M47" i="1"/>
  <c r="L47" i="1"/>
  <c r="J47" i="1"/>
  <c r="O46" i="1"/>
  <c r="M46" i="1"/>
  <c r="L46" i="1"/>
  <c r="J46" i="1"/>
  <c r="O45" i="1"/>
  <c r="L45" i="1"/>
  <c r="J45" i="1"/>
  <c r="P45" i="1" s="1"/>
  <c r="O44" i="1"/>
  <c r="P44" i="1" s="1"/>
  <c r="M44" i="1"/>
  <c r="L44" i="1"/>
  <c r="J44" i="1"/>
  <c r="O43" i="1"/>
  <c r="L43" i="1"/>
  <c r="M43" i="1" s="1"/>
  <c r="J43" i="1"/>
  <c r="P42" i="1"/>
  <c r="O42" i="1"/>
  <c r="L42" i="1"/>
  <c r="M42" i="1" s="1"/>
  <c r="J42" i="1"/>
  <c r="O41" i="1"/>
  <c r="P41" i="1" s="1"/>
  <c r="L41" i="1"/>
  <c r="J41" i="1"/>
  <c r="M41" i="1" s="1"/>
  <c r="O40" i="1"/>
  <c r="P40" i="1" s="1"/>
  <c r="L40" i="1"/>
  <c r="J40" i="1"/>
  <c r="O39" i="1"/>
  <c r="P39" i="1" s="1"/>
  <c r="M39" i="1"/>
  <c r="L39" i="1"/>
  <c r="J39" i="1"/>
  <c r="O38" i="1"/>
  <c r="P38" i="1" s="1"/>
  <c r="L38" i="1"/>
  <c r="M38" i="1" s="1"/>
  <c r="J38" i="1"/>
  <c r="O37" i="1"/>
  <c r="L37" i="1"/>
  <c r="J37" i="1"/>
  <c r="P37" i="1" s="1"/>
  <c r="P36" i="1"/>
  <c r="O36" i="1"/>
  <c r="M36" i="1"/>
  <c r="L36" i="1"/>
  <c r="J36" i="1"/>
  <c r="O35" i="1"/>
  <c r="L35" i="1"/>
  <c r="M35" i="1" s="1"/>
  <c r="J35" i="1"/>
  <c r="O34" i="1"/>
  <c r="P34" i="1" s="1"/>
  <c r="L34" i="1"/>
  <c r="M34" i="1" s="1"/>
  <c r="J34" i="1"/>
  <c r="P33" i="1"/>
  <c r="O33" i="1"/>
  <c r="M33" i="1"/>
  <c r="L33" i="1"/>
  <c r="J33" i="1"/>
  <c r="O32" i="1"/>
  <c r="P32" i="1" s="1"/>
  <c r="L32" i="1"/>
  <c r="M32" i="1" s="1"/>
  <c r="J32" i="1"/>
  <c r="P31" i="1"/>
  <c r="O31" i="1"/>
  <c r="M31" i="1"/>
  <c r="L31" i="1"/>
  <c r="J31" i="1"/>
  <c r="O30" i="1"/>
  <c r="L30" i="1"/>
  <c r="J30" i="1"/>
  <c r="M30" i="1" s="1"/>
  <c r="O29" i="1"/>
  <c r="L29" i="1"/>
  <c r="M29" i="1" s="1"/>
  <c r="J29" i="1"/>
  <c r="P29" i="1" s="1"/>
  <c r="P28" i="1"/>
  <c r="O28" i="1"/>
  <c r="L28" i="1"/>
  <c r="M28" i="1" s="1"/>
  <c r="J28" i="1"/>
  <c r="O27" i="1"/>
  <c r="P27" i="1" s="1"/>
  <c r="M27" i="1"/>
  <c r="L27" i="1"/>
  <c r="J27" i="1"/>
  <c r="P26" i="1"/>
  <c r="O26" i="1"/>
  <c r="L26" i="1"/>
  <c r="M26" i="1" s="1"/>
  <c r="J26" i="1"/>
  <c r="P25" i="1"/>
  <c r="O25" i="1"/>
  <c r="L25" i="1"/>
  <c r="M25" i="1" s="1"/>
  <c r="J25" i="1"/>
  <c r="O24" i="1"/>
  <c r="L24" i="1"/>
  <c r="M24" i="1" s="1"/>
  <c r="J24" i="1"/>
  <c r="P23" i="1"/>
  <c r="O23" i="1"/>
  <c r="M23" i="1"/>
  <c r="L23" i="1"/>
  <c r="J23" i="1"/>
  <c r="O22" i="1"/>
  <c r="L22" i="1"/>
  <c r="J22" i="1"/>
  <c r="M22" i="1" s="1"/>
  <c r="P21" i="1"/>
  <c r="O21" i="1"/>
  <c r="L21" i="1"/>
  <c r="M21" i="1" s="1"/>
  <c r="J21" i="1"/>
  <c r="O20" i="1"/>
  <c r="P20" i="1" s="1"/>
  <c r="L20" i="1"/>
  <c r="M20" i="1" s="1"/>
  <c r="J20" i="1"/>
  <c r="O19" i="1"/>
  <c r="P19" i="1" s="1"/>
  <c r="M19" i="1"/>
  <c r="L19" i="1"/>
  <c r="J19" i="1"/>
  <c r="P18" i="1"/>
  <c r="O18" i="1"/>
  <c r="L18" i="1"/>
  <c r="M18" i="1" s="1"/>
  <c r="J18" i="1"/>
  <c r="O17" i="1"/>
  <c r="P17" i="1" s="1"/>
  <c r="L17" i="1"/>
  <c r="J17" i="1"/>
  <c r="M17" i="1" s="1"/>
  <c r="O16" i="1"/>
  <c r="L16" i="1"/>
  <c r="M16" i="1" s="1"/>
  <c r="J16" i="1"/>
  <c r="O15" i="1"/>
  <c r="P15" i="1" s="1"/>
  <c r="M15" i="1"/>
  <c r="L15" i="1"/>
  <c r="J15" i="1"/>
  <c r="O14" i="1"/>
  <c r="M14" i="1"/>
  <c r="L14" i="1"/>
  <c r="J14" i="1"/>
  <c r="O13" i="1"/>
  <c r="L13" i="1"/>
  <c r="J13" i="1"/>
  <c r="P13" i="1" s="1"/>
  <c r="O12" i="1"/>
  <c r="P12" i="1" s="1"/>
  <c r="M12" i="1"/>
  <c r="L12" i="1"/>
  <c r="J12" i="1"/>
  <c r="O11" i="1"/>
  <c r="L11" i="1"/>
  <c r="M11" i="1" s="1"/>
  <c r="J11" i="1"/>
  <c r="P10" i="1"/>
  <c r="O10" i="1"/>
  <c r="L10" i="1"/>
  <c r="M10" i="1" s="1"/>
  <c r="J10" i="1"/>
  <c r="O9" i="1"/>
  <c r="P9" i="1" s="1"/>
  <c r="L9" i="1"/>
  <c r="J9" i="1"/>
  <c r="M9" i="1" s="1"/>
  <c r="O8" i="1"/>
  <c r="P8" i="1" s="1"/>
  <c r="L8" i="1"/>
  <c r="J8" i="1"/>
  <c r="O7" i="1"/>
  <c r="P7" i="1" s="1"/>
  <c r="M7" i="1"/>
  <c r="L7" i="1"/>
  <c r="J7" i="1"/>
  <c r="O6" i="1"/>
  <c r="P6" i="1" s="1"/>
  <c r="L6" i="1"/>
  <c r="M6" i="1" s="1"/>
  <c r="J6" i="1"/>
  <c r="O5" i="1"/>
  <c r="L5" i="1"/>
  <c r="J5" i="1"/>
  <c r="P5" i="1" s="1"/>
  <c r="P4" i="1"/>
  <c r="O4" i="1"/>
  <c r="M4" i="1"/>
  <c r="L4" i="1"/>
  <c r="J4" i="1"/>
  <c r="O3" i="1"/>
  <c r="L3" i="1"/>
  <c r="M3" i="1" s="1"/>
  <c r="J3" i="1"/>
  <c r="O2" i="1"/>
  <c r="P2" i="1" s="1"/>
  <c r="L2" i="1"/>
  <c r="M2" i="1" s="1"/>
  <c r="J2" i="1"/>
  <c r="M5" i="1" l="1"/>
  <c r="P14" i="1"/>
  <c r="P16" i="1"/>
  <c r="M37" i="1"/>
  <c r="P46" i="1"/>
  <c r="P48" i="1"/>
  <c r="M69" i="1"/>
  <c r="M90" i="1"/>
  <c r="M111" i="1"/>
  <c r="P122" i="1"/>
  <c r="P111" i="1"/>
  <c r="P3" i="1"/>
  <c r="P90" i="1"/>
  <c r="M13" i="1"/>
  <c r="P22" i="1"/>
  <c r="P24" i="1"/>
  <c r="M45" i="1"/>
  <c r="P54" i="1"/>
  <c r="P77" i="1"/>
  <c r="P98" i="1"/>
  <c r="M119" i="1"/>
  <c r="P130" i="1"/>
  <c r="P35" i="1"/>
  <c r="P11" i="1"/>
  <c r="P43" i="1"/>
  <c r="M87" i="1"/>
  <c r="M108" i="1"/>
  <c r="P119" i="1"/>
  <c r="P144" i="1"/>
  <c r="P30" i="1"/>
  <c r="P62" i="1"/>
  <c r="P85" i="1"/>
  <c r="P106" i="1"/>
  <c r="M8" i="1"/>
  <c r="M40" i="1"/>
  <c r="M72" i="1"/>
  <c r="M95" i="1"/>
  <c r="M116" i="1"/>
</calcChain>
</file>

<file path=xl/sharedStrings.xml><?xml version="1.0" encoding="utf-8"?>
<sst xmlns="http://schemas.openxmlformats.org/spreadsheetml/2006/main" count="1058" uniqueCount="256">
  <si>
    <t>Sl.no</t>
  </si>
  <si>
    <t>Date</t>
  </si>
  <si>
    <t>Scrip</t>
  </si>
  <si>
    <t>Position</t>
  </si>
  <si>
    <t>Conviction</t>
  </si>
  <si>
    <t>Trade Reasoning</t>
  </si>
  <si>
    <t>Quantity</t>
  </si>
  <si>
    <t>Entry Price</t>
  </si>
  <si>
    <t>Stop Loss</t>
  </si>
  <si>
    <t xml:space="preserve">Risk </t>
  </si>
  <si>
    <t>Target</t>
  </si>
  <si>
    <t>Reward</t>
  </si>
  <si>
    <t>RRR</t>
  </si>
  <si>
    <t>Exit  Price</t>
  </si>
  <si>
    <t>Profit/Loss</t>
  </si>
  <si>
    <t>RR Achieved</t>
  </si>
  <si>
    <t>Bank Nifty</t>
  </si>
  <si>
    <t>Short</t>
  </si>
  <si>
    <t>Low</t>
  </si>
  <si>
    <t>Gamma Blast</t>
  </si>
  <si>
    <t>Sensex</t>
  </si>
  <si>
    <t>Medium</t>
  </si>
  <si>
    <t>Finnifty</t>
  </si>
  <si>
    <t>High</t>
  </si>
  <si>
    <t>Momentum</t>
  </si>
  <si>
    <t>Low, Exp</t>
  </si>
  <si>
    <t>Nifty</t>
  </si>
  <si>
    <t>26-082024</t>
  </si>
  <si>
    <t>26-082025</t>
  </si>
  <si>
    <t>Bankex</t>
  </si>
  <si>
    <t>26-082026</t>
  </si>
  <si>
    <t>26-082027</t>
  </si>
  <si>
    <t>Midcap Nifty</t>
  </si>
  <si>
    <t>26-082028</t>
  </si>
  <si>
    <t>Finifty</t>
  </si>
  <si>
    <t>Nifty  CE</t>
  </si>
  <si>
    <t>Low price, Momentum</t>
  </si>
  <si>
    <t>Bank Nifty  CE</t>
  </si>
  <si>
    <t>Bank Nifty  PE</t>
  </si>
  <si>
    <t>Nifty PE</t>
  </si>
  <si>
    <t>Trying</t>
  </si>
  <si>
    <t>Buy low sell high</t>
  </si>
  <si>
    <t>Gamma Blast/there is no 
stoploss, cost to cost</t>
  </si>
  <si>
    <t>Long</t>
  </si>
  <si>
    <t>Carry forward</t>
  </si>
  <si>
    <t>Medium Low</t>
  </si>
  <si>
    <t>Momentum, But no level 
Break out</t>
  </si>
  <si>
    <t>Nifty and Finnifty</t>
  </si>
  <si>
    <t>Long &amp; Short</t>
  </si>
  <si>
    <t>Gamma/Momentum</t>
  </si>
  <si>
    <t>Long/Short</t>
  </si>
  <si>
    <t>Breaking Momentum
rules</t>
  </si>
  <si>
    <t>Pro Divergence</t>
  </si>
  <si>
    <t>Reversal</t>
  </si>
  <si>
    <t>Medium because of gamma</t>
  </si>
  <si>
    <t>Momentum/pro div</t>
  </si>
  <si>
    <t>Break out</t>
  </si>
  <si>
    <t>Reversal  &amp; Revange</t>
  </si>
  <si>
    <t>Candle</t>
  </si>
  <si>
    <t>Fund Flow</t>
  </si>
  <si>
    <t>News &amp; Event</t>
  </si>
  <si>
    <t>Sector</t>
  </si>
  <si>
    <t>Expiry</t>
  </si>
  <si>
    <t>Close</t>
  </si>
  <si>
    <t>Weekly Chg</t>
  </si>
  <si>
    <t>Weekly chg%</t>
  </si>
  <si>
    <t>Monthly</t>
  </si>
  <si>
    <t>Weekly</t>
  </si>
  <si>
    <t>PCR</t>
  </si>
  <si>
    <t>FII</t>
  </si>
  <si>
    <t>DII</t>
  </si>
  <si>
    <t>Positive</t>
  </si>
  <si>
    <t>Negative</t>
  </si>
  <si>
    <t>Upcoming Events</t>
  </si>
  <si>
    <t>Rating</t>
  </si>
  <si>
    <t>View</t>
  </si>
  <si>
    <t>Slight Bearish</t>
  </si>
  <si>
    <t>Slight Bullish</t>
  </si>
  <si>
    <t>US Service PMI : 51.4 vs 51</t>
  </si>
  <si>
    <t>India Ser PMI : 60.3 vs 61.6</t>
  </si>
  <si>
    <t>Neutral</t>
  </si>
  <si>
    <t>Bullish</t>
  </si>
  <si>
    <t>India Inflation: 3.54% vs 3.65%
GB Unemp Rate: 4.2% vs 4.5%
US inflation : 3.2% vs 3.2%
India WPI Inflation : 2.04% vs 2.29%</t>
  </si>
  <si>
    <t>IT</t>
  </si>
  <si>
    <t>Fri : Fed Chair Speech  
Mon : US Durable Goods Data  
Thurs : US GDP Gw Est   
Fri : IndiaGDP Gw</t>
  </si>
  <si>
    <t>Fed Chair-Speech On Rate Cut
US Durable Good Data : 9.9% vs 5%
US GDP Gw est : 3% vs 2.8%</t>
  </si>
  <si>
    <t>Fri : India GDP Gw
Mon : India Mnf PMI
Tues : US mnf PMI, US Job Opening
Thurs : US Ser PMI</t>
  </si>
  <si>
    <t>Relience
Bnf</t>
  </si>
  <si>
    <t>Bearish</t>
  </si>
  <si>
    <t>India Ser PMI
US Ser PMI - 51.5 vs 51.1</t>
  </si>
  <si>
    <t>India Mnf PMI : 57.5 vs 58.1
US Mnf PMI : 47.2 vs 47.5
US Job Opening</t>
  </si>
  <si>
    <t>All</t>
  </si>
  <si>
    <t>India Inflation : 3.65% vs 3.55%</t>
  </si>
  <si>
    <t>Oil, gas</t>
  </si>
  <si>
    <t xml:space="preserve">Thurs: US GDP, Fed chair Speech
</t>
  </si>
  <si>
    <t>Mon : Fed Chair Speech
Tues : US Mnf PMI, US job Opening data
Thurs : US Ser PMI
Fri : India Mnf PMI data</t>
  </si>
  <si>
    <t>RIL
Auto</t>
  </si>
  <si>
    <t>IT
Bank</t>
  </si>
  <si>
    <t>US Unemployment Rate : 4.1% vs 4.2%</t>
  </si>
  <si>
    <t>Ind Ser PMI - 57.7 vs 58.9 
War scen.</t>
  </si>
  <si>
    <t>RBI Int Rate : 6.5% vs 6.5%</t>
  </si>
  <si>
    <t>US Inflaton : 2.4% vs 2.3%</t>
  </si>
  <si>
    <t xml:space="preserve">Mon : India Inflation
Tues : GB Unemp Data
Wed : GB Inflation
Thurs : ECB Int Rate </t>
  </si>
  <si>
    <t>GB Unemp Rate : 4% vs 4.1%
GB Inflation : 1.7% vs 1.9%
ECB Int Rate : 3.4% vs 3.4%</t>
  </si>
  <si>
    <t>India Inflation : 5.49% vs 5%</t>
  </si>
  <si>
    <t>Bnf</t>
  </si>
  <si>
    <t>Tues : US Job opening
Wed : US GDP gw Data
            EA GSP Gw Data
Fri : US Umemp Data</t>
  </si>
  <si>
    <t>US Unemp Data : 4.1% vs 4.1%
India Mnf PMI - 57.5 vs 57.4
US Ser PMI - 56 vs 53.8
India Ser PMI - 58.5 vs 58.3
Fed Int Rate - Cut 25bp</t>
  </si>
  <si>
    <t>US Mnf PMI - 46.5 vs 47.6</t>
  </si>
  <si>
    <t>RIL</t>
  </si>
  <si>
    <t>US Inflation - 3.3% vs 3.3%</t>
  </si>
  <si>
    <t>India inflation : 6.21 % vs 5.81%</t>
  </si>
  <si>
    <t>US GDP Gw Est - Wed</t>
  </si>
  <si>
    <t>0.94%%</t>
  </si>
  <si>
    <t>Neutral 
Nifty Inline</t>
  </si>
  <si>
    <t>Neutral
Nifty Inline</t>
  </si>
  <si>
    <t xml:space="preserve">US Manufacture PMI - 48.4 vs 47.5
Job Opening Data - </t>
  </si>
  <si>
    <t>India Manufacturing PMI - 56.5 vs 57.3
India Ser PMI
US Ser PMI</t>
  </si>
  <si>
    <t>Wed : US Inflation
Thurs : Inflation Data
ECB Int Rate</t>
  </si>
  <si>
    <t>Inflation Rate India - 5.48% vs 5.53%</t>
  </si>
  <si>
    <t>Oil &amp; Gas</t>
  </si>
  <si>
    <t>US GDP Gw QoQ</t>
  </si>
  <si>
    <t>Fed Commentry -Hawkish - No 
Further rate cut next year</t>
  </si>
  <si>
    <t>Good Auto Sales Number</t>
  </si>
  <si>
    <t>India Mnf PMI : Below Expectation</t>
  </si>
  <si>
    <t>Auto 
FMCG</t>
  </si>
  <si>
    <t>US Ser PMI - above exp
US Job Opening - abv exp</t>
  </si>
  <si>
    <t>India Ser PMI -Below Exp
HMPV Virus Outbreak</t>
  </si>
  <si>
    <t>Mon : India Inflation
Tues : India WPI Inflation
Wed : US Inflation Data
Q3) Results</t>
  </si>
  <si>
    <t>IT 
RELIANCE
FMCG</t>
  </si>
  <si>
    <t>Bnf
Auto
Pharma</t>
  </si>
  <si>
    <t>India Inflation : 5.22% vs 5.3%
US Inflation - 3.2% vs 3.3%</t>
  </si>
  <si>
    <t>WPI Inflation India - 2.37% vs 2.3%</t>
  </si>
  <si>
    <t>Rilance</t>
  </si>
  <si>
    <t>30-02-2025</t>
  </si>
  <si>
    <t>Trump's inaugration Selling</t>
  </si>
  <si>
    <t>Inline</t>
  </si>
  <si>
    <t>RBI Liquidity Measure
Fed Int Rate - 4.5% vs 4.5%</t>
  </si>
  <si>
    <t>Deeplink - AI Model</t>
  </si>
  <si>
    <t>Sat - Union Budget 2025
Mon - US Mnf PMI
India Mnf PMI
Tues - US Job Opening
Wed - US Ser PMI
India ser PMI
Fri - US Unemp Data
India RBI Int Rate</t>
  </si>
  <si>
    <t>FMCG</t>
  </si>
  <si>
    <t>Union Budget
US Mnf PMI
RBI Rate Cut - 25bp</t>
  </si>
  <si>
    <t>US Jobopenin g
US Ser PMI
India Ser PMI
US Tarrif concerns</t>
  </si>
  <si>
    <t xml:space="preserve">Wed - India Inflation rate
US core Inflation
Fri - India WPI Inflation </t>
  </si>
  <si>
    <t>Bnf 
IT</t>
  </si>
  <si>
    <t>India Inflation: 4.3% vs 4.6%
India WPI Inflation : 2.3% vs 2.5%</t>
  </si>
  <si>
    <t>US Inflation - 3.3% vs 3.1%
Trade tensions</t>
  </si>
  <si>
    <t>US Tariff - Auto &amp; Pharma</t>
  </si>
  <si>
    <t>IT
Auto
Fmgc</t>
  </si>
  <si>
    <t>Mon : Indian Mnf PMI
US Mnf PMI
Wed : India Ser PMI
US Ser PMI
Thurs : ECB Int Rate Decision
Fri : US Unemp Rate</t>
  </si>
  <si>
    <t>IT
Auto
FMGC</t>
  </si>
  <si>
    <t>India Ser PMI - 59 vs 57.3
US Ser PMI - 53.5 vs 52.6</t>
  </si>
  <si>
    <t>GDP Data India 6.2% vs 6.3%
India Mnf PMI - 53.5 vs 57.1
US mnf PMI - 50.3 vs 50.5</t>
  </si>
  <si>
    <t>India Inflation - 3.61% vs 4%
US Inflation - 2.8% vs 2.9%</t>
  </si>
  <si>
    <t>Mon : India WPI Inflation
Wed : Fed Int Rate Decision</t>
  </si>
  <si>
    <t>US Fed Int Rate : No Change (4.5%)</t>
  </si>
  <si>
    <t>Thurs : US GDP Gw Data</t>
  </si>
  <si>
    <t>US GDP Gw QoQ - 2.4% vs 2.3%</t>
  </si>
  <si>
    <t>Tues: US Mnf PMI
          Job Opening Data
Wed : India Mnf PMI
Thurs : US Ser PMI
Fri : US Unemp Rate
       India Ser PMI</t>
  </si>
  <si>
    <t>India Ser PMI - 58.1 vs 57.6
India Mnf PMI - 58.5 vs 57.7</t>
  </si>
  <si>
    <t xml:space="preserve">US Mnf PMI - 49 vs 49.5
US Job Opening - 7.5 vs 7.6M
US Ser PMI - 50.8 vs 53
US Reciprocal Tariff Policy
</t>
  </si>
  <si>
    <t>Wed - RBI Int Rate Decision
Thus - US Inflation
Fri - India Inflation</t>
  </si>
  <si>
    <t>Bnf
Fin</t>
  </si>
  <si>
    <t>RIL
IT
AUTO
Pharma</t>
  </si>
  <si>
    <t>RBI Int Rate: 25bps cut</t>
  </si>
  <si>
    <t>India Inflation : 3.34% vs 3.6%
Tariff Pause</t>
  </si>
  <si>
    <t>Bnf recover
from fall</t>
  </si>
  <si>
    <t>30-04-1025</t>
  </si>
  <si>
    <t>India Pak class, pak did crime</t>
  </si>
  <si>
    <t>US Mnf PMI - 48.7 vs 48</t>
  </si>
  <si>
    <t>Pak terror in India
US Job Opening</t>
  </si>
  <si>
    <t>Fri - US Unemp Data
Mon - US ser PMI
Tues - India PMI Data
Wed - Fed Int Rate</t>
  </si>
  <si>
    <t>Oil, Gas
Relience</t>
  </si>
  <si>
    <t>India Ser PMI - 58.7 vs 58.5
US Ser PMI</t>
  </si>
  <si>
    <t>India Pak War</t>
  </si>
  <si>
    <t>Tues - India Inflation Data
           US Inflation
Tariff news, war development.</t>
  </si>
  <si>
    <t>India Inflation Data : 3.16 vs 3.27%
US Inflation
India-Pak Ceasefire</t>
  </si>
  <si>
    <t>US India Trade/Tariff Related News</t>
  </si>
  <si>
    <t xml:space="preserve">India Industrial production
India GDP gw : 7.4% vs 6.7%
</t>
  </si>
  <si>
    <t>Mon: India Mnf PMI
Wed : India Ser PMI
Fri : RBI Int Rate : Exp -25bp</t>
  </si>
  <si>
    <t>RBI Int Rate : 5.5% vs 5.75%</t>
  </si>
  <si>
    <t>India Mnf PMI - 57.6 vs 58.5
India Ser PMI - 58.7 vs 49.5
US mnf Pmi - 48.5 vs 49.5</t>
  </si>
  <si>
    <t xml:space="preserve">Wed : US Inflation Data
Thurs : India Inflation Data(After Market)
</t>
  </si>
  <si>
    <t>US Inflation data : 2.4% vs 2.5%
India Inflation Data : 2.82% vs 3%</t>
  </si>
  <si>
    <t>Israel -Iran War</t>
  </si>
  <si>
    <t>Mon : India WPI Inflation (12 pm)
Wed : Fed Int Rate Decision (no cng)</t>
  </si>
  <si>
    <t>India WPI Inflation : Above Expt.
US Int Rate : Same 4.5%</t>
  </si>
  <si>
    <t>Isreal Iran Ceasefire
Imminent Trade deal with US</t>
  </si>
  <si>
    <t xml:space="preserve">Mon :India Industry Prod data
Tues : Indian Mnf PMI Data
            US Mnf Pmi
            US Job Opening
Thurs : US Unemp Data
              US Ser PMI
              India Ser PMI
</t>
  </si>
  <si>
    <t>Bank &amp; Fin
Oil Gas</t>
  </si>
  <si>
    <t>US Unemp Data : 4.1% vs 4.3%
US Mnf PMI - Good
US job opening Data - Good</t>
  </si>
  <si>
    <t>India Industrial Production</t>
  </si>
  <si>
    <t>US Tariff
Weak Q1 Earnings Result</t>
  </si>
  <si>
    <t>Trade deal between US and India</t>
  </si>
  <si>
    <t>IT, Auto</t>
  </si>
  <si>
    <t>India Inflation Data</t>
  </si>
  <si>
    <t>INDIA US trade deal - Aug deadline
Q1 result</t>
  </si>
  <si>
    <t xml:space="preserve">INDIA US trade deal - Aug deadline
Q1 result
Tues : US job Opening
Wed : US Fed Int Rate </t>
  </si>
  <si>
    <t>US Fed Int Rate : 4.5%  vs 4.5%</t>
  </si>
  <si>
    <t>US Tariff : 25% + Penalty
US job Open</t>
  </si>
  <si>
    <t xml:space="preserve">Tues - US Job Opening
Wed - US fed Int rate </t>
  </si>
  <si>
    <t>IT
Pharma</t>
  </si>
  <si>
    <t>US tariff + 25% Additional</t>
  </si>
  <si>
    <t>Tues : India Inflation
Thurs : WPI Inflation</t>
  </si>
  <si>
    <t>India Inflation - 1.55% vs 1.76%</t>
  </si>
  <si>
    <t>Mon : India Unemp Rate</t>
  </si>
  <si>
    <t>India Unemp Data : 5.2% vs 5.5%
GST Reforms</t>
  </si>
  <si>
    <t>US Delegation visit to INDIA Cancelled
27 Aug 25 - Add 25% Tariff Date</t>
  </si>
  <si>
    <t>Thurs : India Indust. Prod Data</t>
  </si>
  <si>
    <t>Auto</t>
  </si>
  <si>
    <t xml:space="preserve">India Industrial production : 3.5% vs 2.1%
Nifty Expiry cange to Tuesday from now
For last 25+ year it was Thursday
</t>
  </si>
  <si>
    <t>50% Tariff News</t>
  </si>
  <si>
    <t>Mon : Mnf PMI
Wed : Ser PMI</t>
  </si>
  <si>
    <t>GDP Gw Data - 7.8% vs 6.7%
GST Rate Cut</t>
  </si>
  <si>
    <t>India Ser PMI - 62.9 vs 65</t>
  </si>
  <si>
    <t>Fri : India Inflation Data</t>
  </si>
  <si>
    <t xml:space="preserve">India Inflation : 2.07% vs 2.1%
US Inflation : 2.9% vs 2,9%
</t>
  </si>
  <si>
    <t>Mon: WPI Inflation
          Unemployee Data
Wed : Fed Int Rate Decision 25pt Cut</t>
  </si>
  <si>
    <t>IT,Infy</t>
  </si>
  <si>
    <t>WPI Inflation India - 0.52% vs 0.30%</t>
  </si>
  <si>
    <t>H1B Visa Fees - IT
Pharma - 100% tariff</t>
  </si>
  <si>
    <t>RBI Int Rate - No Change</t>
  </si>
  <si>
    <t>Mon : India PMI data</t>
  </si>
  <si>
    <t xml:space="preserve">India Mnf PMI
India Ser PMI 
</t>
  </si>
  <si>
    <t>Mon - India Inflation Data 
Tues - India WPI
Wed - India Unemp Data
            US Core Inflation</t>
  </si>
  <si>
    <t>India Inflation Data - 1.54% vs  1,7%</t>
  </si>
  <si>
    <t>Fri - Us I inflation Data</t>
  </si>
  <si>
    <t>Tues - India Industrial &amp; Mnf Prod Date
Wed - Fed Int Rate Decision (est 25bp cut)</t>
  </si>
  <si>
    <t>Tuesday</t>
  </si>
  <si>
    <t>Wednesday</t>
  </si>
  <si>
    <t>Thursday</t>
  </si>
  <si>
    <t>Friday</t>
  </si>
  <si>
    <t>Monday</t>
  </si>
  <si>
    <t>Nifty Analysis</t>
  </si>
  <si>
    <t>News/Event</t>
  </si>
  <si>
    <t>Stocks/Sector</t>
  </si>
  <si>
    <t>Result/View</t>
  </si>
  <si>
    <t>Closing</t>
  </si>
  <si>
    <t>Change</t>
  </si>
  <si>
    <t>Change %
*</t>
  </si>
  <si>
    <t>Daily
*</t>
  </si>
  <si>
    <t>Weekly
**</t>
  </si>
  <si>
    <t>Net FII</t>
  </si>
  <si>
    <t>Net DII</t>
  </si>
  <si>
    <t>FII Long %
1.5%</t>
  </si>
  <si>
    <t>FII Short</t>
  </si>
  <si>
    <t>% Change</t>
  </si>
  <si>
    <t>Result Stokes</t>
  </si>
  <si>
    <t>US Retail Sales Data : 0.1% vs 0.2%
India WPI Inflation : 1.31% vs 1.8%</t>
  </si>
  <si>
    <t>US Fed Int Rate : 50pt Cut</t>
  </si>
  <si>
    <r>
      <t>US Inflation data : 2.5% vs 2.6%</t>
    </r>
    <r>
      <rPr>
        <sz val="11"/>
        <color theme="1"/>
        <rFont val="Calibri"/>
        <family val="2"/>
      </rPr>
      <t xml:space="preserve">
US Unemp Data : 4.2% vs 4.2%
GB Unemp : 4.1% vs 4.1%
ECB Int Rate : 3.65% vs 3.65%</t>
    </r>
  </si>
  <si>
    <r>
      <t xml:space="preserve">Tues : India WPI Data, US Retail Sales
Wed : GB Inflation, </t>
    </r>
    <r>
      <rPr>
        <sz val="11"/>
        <color theme="8" tint="-0.249977111117893"/>
        <rFont val="Calibri"/>
        <family val="2"/>
      </rPr>
      <t>Fed Interest Rate</t>
    </r>
    <r>
      <rPr>
        <sz val="11"/>
        <color theme="1"/>
        <rFont val="Calibri"/>
        <family val="2"/>
      </rPr>
      <t xml:space="preserve"> 
Thurs : BoE Int Rate
Fri : BoJ Int Rate</t>
    </r>
  </si>
  <si>
    <r>
      <t xml:space="preserve">Mon : WPi Inflation 
</t>
    </r>
    <r>
      <rPr>
        <sz val="11"/>
        <color theme="5" tint="-0.249977111117893"/>
        <rFont val="Calibri"/>
        <family val="2"/>
      </rPr>
      <t>Tues : GN Uemp Data</t>
    </r>
    <r>
      <rPr>
        <sz val="11"/>
        <color theme="1"/>
        <rFont val="Calibri"/>
        <family val="2"/>
      </rPr>
      <t xml:space="preserve">
Thurs : FED Int Rate 
US GDP GW</t>
    </r>
  </si>
  <si>
    <r>
      <t>India Unemp</t>
    </r>
    <r>
      <rPr>
        <sz val="11"/>
        <color rgb="FF800080"/>
        <rFont val="Calibri"/>
        <family val="2"/>
      </rPr>
      <t xml:space="preserve"> </t>
    </r>
    <r>
      <rPr>
        <sz val="11"/>
        <color theme="1"/>
        <rFont val="Calibri"/>
        <family val="2"/>
      </rPr>
      <t>Data : 5.1% vs 5.3%
Fed Int Rate Cut : 4.25% vs 4.5%</t>
    </r>
  </si>
  <si>
    <r>
      <t xml:space="preserve">Fri : US Unemp Data
Tues : GB Unemp
Wed : US Inflation
Thurs : ECB Int Rate, </t>
    </r>
    <r>
      <rPr>
        <sz val="11"/>
        <color theme="5"/>
        <rFont val="Calibri"/>
        <family val="2"/>
      </rPr>
      <t>India Inflation Data</t>
    </r>
  </si>
  <si>
    <r>
      <t xml:space="preserve">US Retail Sales Data : 0.1% vs 0.2%
India WPI Inflation : 1.31% vs 1.8%
</t>
    </r>
    <r>
      <rPr>
        <sz val="11"/>
        <color rgb="FFFF0000"/>
        <rFont val="Calibri"/>
        <family val="2"/>
      </rPr>
      <t>US Fed Int Rate : 50pt Cut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</si>
</sst>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_ "/>
    <numFmt numFmtId="165" formatCode="0.00_ 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charset val="134"/>
      <scheme val="minor"/>
    </font>
    <font>
      <sz val="11"/>
      <color rgb="FF00B050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3"/>
      <name val="Aptos Narrow"/>
      <charset val="134"/>
      <scheme val="minor"/>
    </font>
    <font>
      <u/>
      <sz val="11"/>
      <color rgb="FF0000FF"/>
      <name val="Aptos Narrow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theme="8" tint="-0.249977111117893"/>
      <name val="Calibri"/>
      <family val="2"/>
    </font>
    <font>
      <sz val="11"/>
      <color theme="5" tint="-0.249977111117893"/>
      <name val="Calibri"/>
      <family val="2"/>
    </font>
    <font>
      <sz val="11"/>
      <color theme="9"/>
      <name val="Calibri"/>
      <family val="2"/>
    </font>
    <font>
      <sz val="11"/>
      <color rgb="FF800080"/>
      <name val="Calibri"/>
      <family val="2"/>
    </font>
    <font>
      <b/>
      <sz val="11"/>
      <color theme="1"/>
      <name val="Calibri"/>
      <family val="2"/>
    </font>
    <font>
      <b/>
      <u/>
      <sz val="11"/>
      <color theme="8" tint="-0.249977111117893"/>
      <name val="Calibri"/>
      <family val="2"/>
    </font>
    <font>
      <sz val="11"/>
      <color rgb="FF92D050"/>
      <name val="Calibri"/>
      <family val="2"/>
    </font>
    <font>
      <sz val="11"/>
      <color theme="5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860C"/>
        <bgColor indexed="64"/>
      </patternFill>
    </fill>
    <fill>
      <patternFill patternType="solid">
        <fgColor rgb="FF0766D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</cellStyleXfs>
  <cellXfs count="10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0" xfId="0" applyFont="1"/>
    <xf numFmtId="14" fontId="13" fillId="1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0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charset val="134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charset val="134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000000000_ 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B337B-7A21-4CEB-B806-7E8DDFAF194F}" name="Table1" displayName="Table1" ref="A1:P147" totalsRowShown="0" headerRowDxfId="0" headerRowBorderDxfId="18" tableBorderDxfId="19" totalsRowBorderDxfId="17">
  <autoFilter ref="A1:P147" xr:uid="{B56B337B-7A21-4CEB-B806-7E8DDFAF194F}"/>
  <tableColumns count="16">
    <tableColumn id="1" xr3:uid="{2DF7CCA5-5A3F-42CF-A512-FECE8FEEE878}" name="Sl.no" dataDxfId="16"/>
    <tableColumn id="2" xr3:uid="{1E853D4E-3590-4DEF-A066-9D0C79F3AF37}" name="Date" dataDxfId="15"/>
    <tableColumn id="3" xr3:uid="{81E41537-9D2E-4F8B-952B-B143E58F1163}" name="Scrip" dataDxfId="14"/>
    <tableColumn id="4" xr3:uid="{544D541A-8865-41F8-BBB6-53FB308CF888}" name="Position" dataDxfId="13"/>
    <tableColumn id="5" xr3:uid="{D0A919BF-7861-4A20-AE27-17872BBE7188}" name="Conviction" dataDxfId="12"/>
    <tableColumn id="6" xr3:uid="{496FC0F7-8324-47A3-9490-50B34BE345CC}" name="Trade Reasoning" dataDxfId="11"/>
    <tableColumn id="7" xr3:uid="{5DAA5204-9CF3-4A21-8C0B-DDABCD885FEC}" name="Quantity" dataDxfId="10"/>
    <tableColumn id="8" xr3:uid="{A3CAB99B-9CAD-44E1-8E49-44D957112308}" name="Entry Price" dataDxfId="9"/>
    <tableColumn id="9" xr3:uid="{BBC5DF26-C15C-4127-BA00-C25B10BB93A6}" name="Stop Loss" dataDxfId="8"/>
    <tableColumn id="10" xr3:uid="{1D7F6D6D-A7C3-4614-8E5B-4680EC81F4EF}" name="Risk " dataDxfId="7">
      <calculatedColumnFormula>(H2-I2)*G2</calculatedColumnFormula>
    </tableColumn>
    <tableColumn id="11" xr3:uid="{163B5D99-B456-4150-A5CE-43CF037A5F68}" name="Target" dataDxfId="6"/>
    <tableColumn id="12" xr3:uid="{2CE9BC4A-444C-4A41-A988-4FFE1FB944E3}" name="Reward" dataDxfId="5">
      <calculatedColumnFormula>(K2-H2)*G2</calculatedColumnFormula>
    </tableColumn>
    <tableColumn id="13" xr3:uid="{FFD6583D-6B01-4BF5-9DFF-AA8FD9ABD0B0}" name="RRR" dataDxfId="4">
      <calculatedColumnFormula>L2/J2</calculatedColumnFormula>
    </tableColumn>
    <tableColumn id="14" xr3:uid="{7054FFF3-5414-47A2-AF23-64BC0FEE3A39}" name="Exit  Price" dataDxfId="3"/>
    <tableColumn id="15" xr3:uid="{1D7C6EEF-A42B-4F66-9582-B7AC3464D225}" name="Profit/Loss" dataDxfId="2">
      <calculatedColumnFormula>(N2-H2)*G2</calculatedColumnFormula>
    </tableColumn>
    <tableColumn id="16" xr3:uid="{D02EB1C4-5FBA-4959-A017-E4609B92EBBF}" name="RR Achieved" dataDxfId="1">
      <calculatedColumnFormula>O2/J2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4206-53E8-41FF-A0F9-492F4D708E89}">
  <dimension ref="A1:P147"/>
  <sheetViews>
    <sheetView tabSelected="1" topLeftCell="A135" workbookViewId="0">
      <selection activeCell="D148" sqref="D148"/>
    </sheetView>
  </sheetViews>
  <sheetFormatPr defaultRowHeight="14.5" x14ac:dyDescent="0.35"/>
  <cols>
    <col min="1" max="1" width="10.81640625" bestFit="1" customWidth="1"/>
    <col min="2" max="2" width="11.7265625" bestFit="1" customWidth="1"/>
    <col min="3" max="3" width="14.26953125" bestFit="1" customWidth="1"/>
    <col min="4" max="4" width="14.08984375" bestFit="1" customWidth="1"/>
    <col min="5" max="5" width="23.08984375" bestFit="1" customWidth="1"/>
    <col min="6" max="6" width="21.90625" bestFit="1" customWidth="1"/>
    <col min="7" max="7" width="14.08984375" bestFit="1" customWidth="1"/>
    <col min="8" max="8" width="17.453125" bestFit="1" customWidth="1"/>
    <col min="9" max="9" width="15.1796875" bestFit="1" customWidth="1"/>
    <col min="10" max="10" width="10.81640625" bestFit="1" customWidth="1"/>
    <col min="11" max="12" width="11.90625" bestFit="1" customWidth="1"/>
    <col min="13" max="13" width="15.90625" bestFit="1" customWidth="1"/>
    <col min="14" max="16" width="17.453125" bestFit="1" customWidth="1"/>
  </cols>
  <sheetData>
    <row r="1" spans="1:16" x14ac:dyDescent="0.35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2" t="s">
        <v>12</v>
      </c>
      <c r="N1" s="51" t="s">
        <v>13</v>
      </c>
      <c r="O1" s="51" t="s">
        <v>14</v>
      </c>
      <c r="P1" s="53" t="s">
        <v>15</v>
      </c>
    </row>
    <row r="2" spans="1:16" x14ac:dyDescent="0.35">
      <c r="A2" s="36">
        <v>1</v>
      </c>
      <c r="B2" s="2">
        <v>45518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45</v>
      </c>
      <c r="H2" s="1">
        <v>9.9</v>
      </c>
      <c r="I2" s="1">
        <v>5</v>
      </c>
      <c r="J2" s="1">
        <f t="shared" ref="J2:J65" si="0">(H2-I2)*G2</f>
        <v>220.50000000000003</v>
      </c>
      <c r="K2" s="1">
        <v>25</v>
      </c>
      <c r="L2" s="1">
        <f t="shared" ref="L2:L65" si="1">(K2-H2)*G2</f>
        <v>679.5</v>
      </c>
      <c r="M2" s="3">
        <f t="shared" ref="M2:M65" si="2">L2/J2</f>
        <v>3.0816326530612241</v>
      </c>
      <c r="N2" s="1">
        <v>14.07</v>
      </c>
      <c r="O2" s="4">
        <f t="shared" ref="O2:O65" si="3">(N2-H2)*G2</f>
        <v>187.65</v>
      </c>
      <c r="P2" s="44">
        <f t="shared" ref="P2:P65" si="4">O2/J2</f>
        <v>0.85102040816326519</v>
      </c>
    </row>
    <row r="3" spans="1:16" x14ac:dyDescent="0.35">
      <c r="A3" s="36">
        <v>2</v>
      </c>
      <c r="B3" s="2">
        <v>45520</v>
      </c>
      <c r="C3" s="1" t="s">
        <v>20</v>
      </c>
      <c r="D3" s="1" t="s">
        <v>17</v>
      </c>
      <c r="E3" s="1" t="s">
        <v>21</v>
      </c>
      <c r="F3" s="1" t="s">
        <v>19</v>
      </c>
      <c r="G3" s="1">
        <v>20</v>
      </c>
      <c r="H3" s="1">
        <v>28</v>
      </c>
      <c r="I3" s="1">
        <v>10</v>
      </c>
      <c r="J3" s="1">
        <f t="shared" si="0"/>
        <v>360</v>
      </c>
      <c r="K3" s="1">
        <v>50</v>
      </c>
      <c r="L3" s="1">
        <f t="shared" si="1"/>
        <v>440</v>
      </c>
      <c r="M3" s="3">
        <f t="shared" si="2"/>
        <v>1.2222222222222223</v>
      </c>
      <c r="N3" s="1">
        <v>39.1</v>
      </c>
      <c r="O3" s="4">
        <f t="shared" si="3"/>
        <v>222.00000000000003</v>
      </c>
      <c r="P3" s="44">
        <f t="shared" si="4"/>
        <v>0.6166666666666667</v>
      </c>
    </row>
    <row r="4" spans="1:16" x14ac:dyDescent="0.35">
      <c r="A4" s="37">
        <v>3</v>
      </c>
      <c r="B4" s="6">
        <v>45524</v>
      </c>
      <c r="C4" s="5" t="s">
        <v>22</v>
      </c>
      <c r="D4" s="5" t="s">
        <v>17</v>
      </c>
      <c r="E4" s="5" t="s">
        <v>23</v>
      </c>
      <c r="F4" s="5" t="s">
        <v>24</v>
      </c>
      <c r="G4" s="5">
        <v>25</v>
      </c>
      <c r="H4" s="5">
        <v>40.450000000000003</v>
      </c>
      <c r="I4" s="5">
        <v>35</v>
      </c>
      <c r="J4" s="5">
        <f t="shared" si="0"/>
        <v>136.25000000000006</v>
      </c>
      <c r="K4" s="5">
        <v>50</v>
      </c>
      <c r="L4" s="5">
        <f t="shared" si="1"/>
        <v>238.74999999999994</v>
      </c>
      <c r="M4" s="7">
        <f t="shared" si="2"/>
        <v>1.7522935779816502</v>
      </c>
      <c r="N4" s="5">
        <v>44.65</v>
      </c>
      <c r="O4" s="5">
        <f t="shared" si="3"/>
        <v>104.99999999999989</v>
      </c>
      <c r="P4" s="45">
        <f t="shared" si="4"/>
        <v>0.77064220183486121</v>
      </c>
    </row>
    <row r="5" spans="1:16" x14ac:dyDescent="0.35">
      <c r="A5" s="36">
        <v>4</v>
      </c>
      <c r="B5" s="2">
        <v>45524</v>
      </c>
      <c r="C5" s="1" t="s">
        <v>22</v>
      </c>
      <c r="D5" s="1" t="s">
        <v>17</v>
      </c>
      <c r="E5" s="1" t="s">
        <v>25</v>
      </c>
      <c r="F5" s="1" t="s">
        <v>19</v>
      </c>
      <c r="G5" s="1">
        <v>25</v>
      </c>
      <c r="H5" s="1">
        <v>1.8</v>
      </c>
      <c r="I5" s="1">
        <v>1</v>
      </c>
      <c r="J5" s="1">
        <f t="shared" si="0"/>
        <v>20</v>
      </c>
      <c r="K5" s="1">
        <v>6</v>
      </c>
      <c r="L5" s="1">
        <f t="shared" si="1"/>
        <v>105</v>
      </c>
      <c r="M5" s="3">
        <f t="shared" si="2"/>
        <v>5.25</v>
      </c>
      <c r="N5" s="1">
        <v>2.5</v>
      </c>
      <c r="O5" s="4">
        <f t="shared" si="3"/>
        <v>17.5</v>
      </c>
      <c r="P5" s="44">
        <f t="shared" si="4"/>
        <v>0.875</v>
      </c>
    </row>
    <row r="6" spans="1:16" x14ac:dyDescent="0.35">
      <c r="A6" s="36">
        <v>5</v>
      </c>
      <c r="B6" s="2">
        <v>45524</v>
      </c>
      <c r="C6" s="1" t="s">
        <v>22</v>
      </c>
      <c r="D6" s="1" t="s">
        <v>17</v>
      </c>
      <c r="E6" s="1" t="s">
        <v>23</v>
      </c>
      <c r="F6" s="1" t="s">
        <v>19</v>
      </c>
      <c r="G6" s="1">
        <v>25</v>
      </c>
      <c r="H6" s="1">
        <v>3.95</v>
      </c>
      <c r="I6" s="1">
        <v>1</v>
      </c>
      <c r="J6" s="1">
        <f t="shared" si="0"/>
        <v>73.75</v>
      </c>
      <c r="K6" s="1">
        <v>10</v>
      </c>
      <c r="L6" s="1">
        <f t="shared" si="1"/>
        <v>151.25</v>
      </c>
      <c r="M6" s="3">
        <f t="shared" si="2"/>
        <v>2.0508474576271185</v>
      </c>
      <c r="N6" s="1">
        <v>5.85</v>
      </c>
      <c r="O6" s="4">
        <f t="shared" si="3"/>
        <v>47.499999999999986</v>
      </c>
      <c r="P6" s="44">
        <f t="shared" si="4"/>
        <v>0.64406779661016933</v>
      </c>
    </row>
    <row r="7" spans="1:16" x14ac:dyDescent="0.35">
      <c r="A7" s="37">
        <v>6</v>
      </c>
      <c r="B7" s="6">
        <v>45525</v>
      </c>
      <c r="C7" s="5" t="s">
        <v>16</v>
      </c>
      <c r="D7" s="5" t="s">
        <v>17</v>
      </c>
      <c r="E7" s="5" t="s">
        <v>21</v>
      </c>
      <c r="F7" s="5" t="s">
        <v>19</v>
      </c>
      <c r="G7" s="5">
        <v>15</v>
      </c>
      <c r="H7" s="5">
        <v>49.2</v>
      </c>
      <c r="I7" s="5">
        <v>45</v>
      </c>
      <c r="J7" s="5">
        <f t="shared" si="0"/>
        <v>63.000000000000043</v>
      </c>
      <c r="K7" s="5">
        <v>60</v>
      </c>
      <c r="L7" s="5">
        <f t="shared" si="1"/>
        <v>161.99999999999994</v>
      </c>
      <c r="M7" s="7">
        <f t="shared" si="2"/>
        <v>2.571428571428569</v>
      </c>
      <c r="N7" s="5">
        <v>62.95</v>
      </c>
      <c r="O7" s="8">
        <f t="shared" si="3"/>
        <v>206.25</v>
      </c>
      <c r="P7" s="45">
        <f t="shared" si="4"/>
        <v>3.2738095238095215</v>
      </c>
    </row>
    <row r="8" spans="1:16" x14ac:dyDescent="0.35">
      <c r="A8" s="38">
        <v>7</v>
      </c>
      <c r="B8" s="10">
        <v>45526</v>
      </c>
      <c r="C8" s="9" t="s">
        <v>26</v>
      </c>
      <c r="D8" s="9" t="s">
        <v>17</v>
      </c>
      <c r="E8" s="9" t="s">
        <v>18</v>
      </c>
      <c r="F8" s="9" t="s">
        <v>19</v>
      </c>
      <c r="G8" s="9">
        <v>25</v>
      </c>
      <c r="H8" s="9">
        <v>21.4</v>
      </c>
      <c r="I8" s="9">
        <v>1</v>
      </c>
      <c r="J8" s="9">
        <f t="shared" si="0"/>
        <v>509.99999999999994</v>
      </c>
      <c r="K8" s="9">
        <v>30</v>
      </c>
      <c r="L8" s="9">
        <f t="shared" si="1"/>
        <v>215.00000000000003</v>
      </c>
      <c r="M8" s="11">
        <f t="shared" si="2"/>
        <v>0.4215686274509805</v>
      </c>
      <c r="N8" s="9">
        <v>0.5</v>
      </c>
      <c r="O8" s="12">
        <f t="shared" si="3"/>
        <v>-522.5</v>
      </c>
      <c r="P8" s="46">
        <f t="shared" si="4"/>
        <v>-1.0245098039215688</v>
      </c>
    </row>
    <row r="9" spans="1:16" x14ac:dyDescent="0.35">
      <c r="A9" s="36">
        <v>8</v>
      </c>
      <c r="B9" s="2">
        <v>45526</v>
      </c>
      <c r="C9" s="1" t="s">
        <v>26</v>
      </c>
      <c r="D9" s="1" t="s">
        <v>17</v>
      </c>
      <c r="E9" s="1" t="s">
        <v>18</v>
      </c>
      <c r="F9" s="1" t="s">
        <v>19</v>
      </c>
      <c r="G9" s="1">
        <v>75</v>
      </c>
      <c r="H9" s="1">
        <v>3.35</v>
      </c>
      <c r="I9" s="1">
        <v>0.1</v>
      </c>
      <c r="J9" s="1">
        <f t="shared" si="0"/>
        <v>243.75</v>
      </c>
      <c r="K9" s="1">
        <v>10</v>
      </c>
      <c r="L9" s="1">
        <f t="shared" si="1"/>
        <v>498.75</v>
      </c>
      <c r="M9" s="3">
        <f t="shared" si="2"/>
        <v>2.046153846153846</v>
      </c>
      <c r="N9" s="1">
        <v>0.95</v>
      </c>
      <c r="O9" s="13">
        <f t="shared" si="3"/>
        <v>-180.00000000000003</v>
      </c>
      <c r="P9" s="44">
        <f t="shared" si="4"/>
        <v>-0.73846153846153861</v>
      </c>
    </row>
    <row r="10" spans="1:16" x14ac:dyDescent="0.35">
      <c r="A10" s="36">
        <v>9</v>
      </c>
      <c r="B10" s="2">
        <v>45526</v>
      </c>
      <c r="C10" s="1" t="s">
        <v>26</v>
      </c>
      <c r="D10" s="1" t="s">
        <v>17</v>
      </c>
      <c r="E10" s="1" t="s">
        <v>18</v>
      </c>
      <c r="F10" s="1" t="s">
        <v>19</v>
      </c>
      <c r="G10" s="1">
        <v>100</v>
      </c>
      <c r="H10" s="1">
        <v>1.3</v>
      </c>
      <c r="I10" s="1">
        <v>0.1</v>
      </c>
      <c r="J10" s="1">
        <f t="shared" si="0"/>
        <v>120</v>
      </c>
      <c r="K10" s="1">
        <v>5</v>
      </c>
      <c r="L10" s="1">
        <f t="shared" si="1"/>
        <v>370</v>
      </c>
      <c r="M10" s="3">
        <f t="shared" si="2"/>
        <v>3.0833333333333335</v>
      </c>
      <c r="N10" s="1">
        <v>0.3</v>
      </c>
      <c r="O10" s="13">
        <f t="shared" si="3"/>
        <v>-100</v>
      </c>
      <c r="P10" s="44">
        <f t="shared" si="4"/>
        <v>-0.83333333333333337</v>
      </c>
    </row>
    <row r="11" spans="1:16" x14ac:dyDescent="0.35">
      <c r="A11" s="39">
        <v>10</v>
      </c>
      <c r="B11" s="14" t="s">
        <v>27</v>
      </c>
      <c r="C11" s="14" t="s">
        <v>26</v>
      </c>
      <c r="D11" s="14" t="s">
        <v>17</v>
      </c>
      <c r="E11" s="14" t="s">
        <v>23</v>
      </c>
      <c r="F11" s="14" t="s">
        <v>24</v>
      </c>
      <c r="G11" s="14">
        <v>25</v>
      </c>
      <c r="H11" s="14">
        <v>87.95</v>
      </c>
      <c r="I11" s="14">
        <v>85</v>
      </c>
      <c r="J11" s="14">
        <f t="shared" si="0"/>
        <v>73.750000000000071</v>
      </c>
      <c r="K11" s="14">
        <v>100</v>
      </c>
      <c r="L11" s="14">
        <f t="shared" si="1"/>
        <v>301.24999999999994</v>
      </c>
      <c r="M11" s="15">
        <f t="shared" si="2"/>
        <v>4.0847457627118597</v>
      </c>
      <c r="N11" s="14">
        <v>88.5</v>
      </c>
      <c r="O11" s="14">
        <f t="shared" si="3"/>
        <v>13.749999999999929</v>
      </c>
      <c r="P11" s="47">
        <f t="shared" si="4"/>
        <v>0.18644067796610056</v>
      </c>
    </row>
    <row r="12" spans="1:16" x14ac:dyDescent="0.35">
      <c r="A12" s="36">
        <v>11</v>
      </c>
      <c r="B12" s="1" t="s">
        <v>28</v>
      </c>
      <c r="C12" s="1" t="s">
        <v>29</v>
      </c>
      <c r="D12" s="1" t="s">
        <v>17</v>
      </c>
      <c r="E12" s="1" t="s">
        <v>21</v>
      </c>
      <c r="F12" s="1" t="s">
        <v>19</v>
      </c>
      <c r="G12" s="1">
        <v>15</v>
      </c>
      <c r="H12" s="1">
        <v>30</v>
      </c>
      <c r="I12" s="1">
        <v>25</v>
      </c>
      <c r="J12" s="1">
        <f t="shared" si="0"/>
        <v>75</v>
      </c>
      <c r="K12" s="1">
        <v>45</v>
      </c>
      <c r="L12" s="1">
        <f t="shared" si="1"/>
        <v>225</v>
      </c>
      <c r="M12" s="3">
        <f t="shared" si="2"/>
        <v>3</v>
      </c>
      <c r="N12" s="1">
        <v>25.7</v>
      </c>
      <c r="O12" s="13">
        <f t="shared" si="3"/>
        <v>-64.500000000000014</v>
      </c>
      <c r="P12" s="44">
        <f t="shared" si="4"/>
        <v>-0.86000000000000021</v>
      </c>
    </row>
    <row r="13" spans="1:16" x14ac:dyDescent="0.35">
      <c r="A13" s="39">
        <v>12</v>
      </c>
      <c r="B13" s="14" t="s">
        <v>30</v>
      </c>
      <c r="C13" s="14" t="s">
        <v>29</v>
      </c>
      <c r="D13" s="14" t="s">
        <v>17</v>
      </c>
      <c r="E13" s="14" t="s">
        <v>21</v>
      </c>
      <c r="F13" s="14" t="s">
        <v>19</v>
      </c>
      <c r="G13" s="14">
        <v>15</v>
      </c>
      <c r="H13" s="14">
        <v>36.75</v>
      </c>
      <c r="I13" s="14">
        <v>28.6</v>
      </c>
      <c r="J13" s="14">
        <f t="shared" si="0"/>
        <v>122.24999999999997</v>
      </c>
      <c r="K13" s="14">
        <v>50</v>
      </c>
      <c r="L13" s="14">
        <f t="shared" si="1"/>
        <v>198.75</v>
      </c>
      <c r="M13" s="15">
        <f t="shared" si="2"/>
        <v>1.6257668711656446</v>
      </c>
      <c r="N13" s="14">
        <v>28.6</v>
      </c>
      <c r="O13" s="16">
        <f t="shared" si="3"/>
        <v>-122.24999999999997</v>
      </c>
      <c r="P13" s="47">
        <f t="shared" si="4"/>
        <v>-1</v>
      </c>
    </row>
    <row r="14" spans="1:16" x14ac:dyDescent="0.35">
      <c r="A14" s="36">
        <v>13</v>
      </c>
      <c r="B14" s="1" t="s">
        <v>31</v>
      </c>
      <c r="C14" s="1" t="s">
        <v>32</v>
      </c>
      <c r="D14" s="1" t="s">
        <v>17</v>
      </c>
      <c r="E14" s="1" t="s">
        <v>18</v>
      </c>
      <c r="F14" s="1" t="s">
        <v>19</v>
      </c>
      <c r="G14" s="1">
        <v>50</v>
      </c>
      <c r="H14" s="1">
        <v>2.15</v>
      </c>
      <c r="I14" s="1">
        <v>1</v>
      </c>
      <c r="J14" s="1">
        <f t="shared" si="0"/>
        <v>57.499999999999993</v>
      </c>
      <c r="K14" s="1">
        <v>10</v>
      </c>
      <c r="L14" s="1">
        <f t="shared" si="1"/>
        <v>392.5</v>
      </c>
      <c r="M14" s="3">
        <f t="shared" si="2"/>
        <v>6.8260869565217401</v>
      </c>
      <c r="N14" s="1">
        <v>6.35</v>
      </c>
      <c r="O14" s="4">
        <f t="shared" si="3"/>
        <v>209.99999999999997</v>
      </c>
      <c r="P14" s="44">
        <f t="shared" si="4"/>
        <v>3.652173913043478</v>
      </c>
    </row>
    <row r="15" spans="1:16" x14ac:dyDescent="0.35">
      <c r="A15" s="36">
        <v>14</v>
      </c>
      <c r="B15" s="1" t="s">
        <v>33</v>
      </c>
      <c r="C15" s="1" t="s">
        <v>29</v>
      </c>
      <c r="D15" s="1" t="s">
        <v>17</v>
      </c>
      <c r="E15" s="1" t="s">
        <v>18</v>
      </c>
      <c r="F15" s="1" t="s">
        <v>19</v>
      </c>
      <c r="G15" s="1">
        <v>15</v>
      </c>
      <c r="H15" s="1">
        <v>1.9</v>
      </c>
      <c r="I15" s="1">
        <v>0.1</v>
      </c>
      <c r="J15" s="1">
        <f t="shared" si="0"/>
        <v>26.999999999999996</v>
      </c>
      <c r="K15" s="1">
        <v>5</v>
      </c>
      <c r="L15" s="1">
        <f t="shared" si="1"/>
        <v>46.5</v>
      </c>
      <c r="M15" s="3">
        <f t="shared" si="2"/>
        <v>1.7222222222222225</v>
      </c>
      <c r="N15" s="1">
        <v>0.3</v>
      </c>
      <c r="O15" s="13">
        <f t="shared" si="3"/>
        <v>-23.999999999999996</v>
      </c>
      <c r="P15" s="44">
        <f t="shared" si="4"/>
        <v>-0.88888888888888884</v>
      </c>
    </row>
    <row r="16" spans="1:16" x14ac:dyDescent="0.35">
      <c r="A16" s="37">
        <v>15</v>
      </c>
      <c r="B16" s="6">
        <v>45531</v>
      </c>
      <c r="C16" s="5" t="s">
        <v>34</v>
      </c>
      <c r="D16" s="5" t="s">
        <v>17</v>
      </c>
      <c r="E16" s="5" t="s">
        <v>18</v>
      </c>
      <c r="F16" s="5" t="s">
        <v>24</v>
      </c>
      <c r="G16" s="5">
        <v>25</v>
      </c>
      <c r="H16" s="5">
        <v>57.7</v>
      </c>
      <c r="I16" s="5">
        <v>50</v>
      </c>
      <c r="J16" s="5">
        <f t="shared" si="0"/>
        <v>192.50000000000006</v>
      </c>
      <c r="K16" s="5">
        <v>70</v>
      </c>
      <c r="L16" s="5">
        <f t="shared" si="1"/>
        <v>307.49999999999994</v>
      </c>
      <c r="M16" s="7">
        <f t="shared" si="2"/>
        <v>1.5974025974025967</v>
      </c>
      <c r="N16" s="5">
        <v>57.85</v>
      </c>
      <c r="O16" s="8">
        <f t="shared" si="3"/>
        <v>3.7499999999999645</v>
      </c>
      <c r="P16" s="45">
        <f t="shared" si="4"/>
        <v>1.9480519480519289E-2</v>
      </c>
    </row>
    <row r="17" spans="1:16" x14ac:dyDescent="0.35">
      <c r="A17" s="37">
        <v>16</v>
      </c>
      <c r="B17" s="6">
        <v>45531</v>
      </c>
      <c r="C17" s="5" t="s">
        <v>26</v>
      </c>
      <c r="D17" s="5" t="s">
        <v>17</v>
      </c>
      <c r="E17" s="5" t="s">
        <v>18</v>
      </c>
      <c r="F17" s="5" t="s">
        <v>24</v>
      </c>
      <c r="G17" s="5">
        <v>25</v>
      </c>
      <c r="H17" s="5">
        <v>88.15</v>
      </c>
      <c r="I17" s="5">
        <v>80</v>
      </c>
      <c r="J17" s="5">
        <f t="shared" si="0"/>
        <v>203.75000000000014</v>
      </c>
      <c r="K17" s="5">
        <v>100</v>
      </c>
      <c r="L17" s="5">
        <f t="shared" si="1"/>
        <v>296.24999999999989</v>
      </c>
      <c r="M17" s="7">
        <f t="shared" si="2"/>
        <v>1.4539877300613482</v>
      </c>
      <c r="N17" s="5">
        <v>85</v>
      </c>
      <c r="O17" s="17">
        <f t="shared" si="3"/>
        <v>-78.750000000000142</v>
      </c>
      <c r="P17" s="45">
        <f t="shared" si="4"/>
        <v>-0.38650306748466301</v>
      </c>
    </row>
    <row r="18" spans="1:16" x14ac:dyDescent="0.35">
      <c r="A18" s="37">
        <v>17</v>
      </c>
      <c r="B18" s="6">
        <v>45531</v>
      </c>
      <c r="C18" s="5" t="s">
        <v>26</v>
      </c>
      <c r="D18" s="5" t="s">
        <v>17</v>
      </c>
      <c r="E18" s="5" t="s">
        <v>21</v>
      </c>
      <c r="F18" s="5" t="s">
        <v>24</v>
      </c>
      <c r="G18" s="5">
        <v>25</v>
      </c>
      <c r="H18" s="5">
        <v>68.900000000000006</v>
      </c>
      <c r="I18" s="5">
        <v>65</v>
      </c>
      <c r="J18" s="5">
        <f t="shared" si="0"/>
        <v>97.500000000000142</v>
      </c>
      <c r="K18" s="5">
        <v>72</v>
      </c>
      <c r="L18" s="5">
        <f t="shared" si="1"/>
        <v>77.499999999999858</v>
      </c>
      <c r="M18" s="7">
        <f t="shared" si="2"/>
        <v>0.79487179487179227</v>
      </c>
      <c r="N18" s="5">
        <v>71.900000000000006</v>
      </c>
      <c r="O18" s="8">
        <f t="shared" si="3"/>
        <v>75</v>
      </c>
      <c r="P18" s="45">
        <f t="shared" si="4"/>
        <v>0.76923076923076816</v>
      </c>
    </row>
    <row r="19" spans="1:16" x14ac:dyDescent="0.35">
      <c r="A19" s="37">
        <v>18</v>
      </c>
      <c r="B19" s="6">
        <v>45531</v>
      </c>
      <c r="C19" s="5" t="s">
        <v>26</v>
      </c>
      <c r="D19" s="5" t="s">
        <v>17</v>
      </c>
      <c r="E19" s="5" t="s">
        <v>21</v>
      </c>
      <c r="F19" s="5" t="s">
        <v>24</v>
      </c>
      <c r="G19" s="5">
        <v>25</v>
      </c>
      <c r="H19" s="5">
        <v>77.599999999999994</v>
      </c>
      <c r="I19" s="5">
        <v>70</v>
      </c>
      <c r="J19" s="5">
        <f t="shared" si="0"/>
        <v>189.99999999999986</v>
      </c>
      <c r="K19" s="5">
        <v>90</v>
      </c>
      <c r="L19" s="5">
        <f t="shared" si="1"/>
        <v>310.00000000000011</v>
      </c>
      <c r="M19" s="7">
        <f t="shared" si="2"/>
        <v>1.6315789473684228</v>
      </c>
      <c r="N19" s="5">
        <v>77.55</v>
      </c>
      <c r="O19" s="17">
        <f t="shared" si="3"/>
        <v>-1.2499999999999289</v>
      </c>
      <c r="P19" s="45">
        <f t="shared" si="4"/>
        <v>-6.5789473684206836E-3</v>
      </c>
    </row>
    <row r="20" spans="1:16" x14ac:dyDescent="0.35">
      <c r="A20" s="37">
        <v>19</v>
      </c>
      <c r="B20" s="6">
        <v>45531</v>
      </c>
      <c r="C20" s="5" t="s">
        <v>22</v>
      </c>
      <c r="D20" s="5" t="s">
        <v>17</v>
      </c>
      <c r="E20" s="5" t="s">
        <v>21</v>
      </c>
      <c r="F20" s="5" t="s">
        <v>24</v>
      </c>
      <c r="G20" s="5">
        <v>25</v>
      </c>
      <c r="H20" s="5">
        <v>87.7</v>
      </c>
      <c r="I20" s="5">
        <v>80</v>
      </c>
      <c r="J20" s="5">
        <f t="shared" si="0"/>
        <v>192.50000000000006</v>
      </c>
      <c r="K20" s="5">
        <v>100</v>
      </c>
      <c r="L20" s="5">
        <f t="shared" si="1"/>
        <v>307.49999999999994</v>
      </c>
      <c r="M20" s="7">
        <f t="shared" si="2"/>
        <v>1.5974025974025967</v>
      </c>
      <c r="N20" s="5">
        <v>92.35</v>
      </c>
      <c r="O20" s="8">
        <f t="shared" si="3"/>
        <v>116.24999999999979</v>
      </c>
      <c r="P20" s="45">
        <f t="shared" si="4"/>
        <v>0.6038961038961026</v>
      </c>
    </row>
    <row r="21" spans="1:16" x14ac:dyDescent="0.35">
      <c r="A21" s="36">
        <v>20</v>
      </c>
      <c r="B21" s="2">
        <v>45531</v>
      </c>
      <c r="C21" s="1" t="s">
        <v>22</v>
      </c>
      <c r="D21" s="1" t="s">
        <v>17</v>
      </c>
      <c r="E21" s="1" t="s">
        <v>21</v>
      </c>
      <c r="F21" s="1" t="s">
        <v>19</v>
      </c>
      <c r="G21" s="1">
        <v>25</v>
      </c>
      <c r="H21" s="1">
        <v>30.8</v>
      </c>
      <c r="I21" s="1">
        <v>20</v>
      </c>
      <c r="J21" s="1">
        <f t="shared" si="0"/>
        <v>270</v>
      </c>
      <c r="K21" s="1">
        <v>50</v>
      </c>
      <c r="L21" s="1">
        <f t="shared" si="1"/>
        <v>480</v>
      </c>
      <c r="M21" s="3">
        <f t="shared" si="2"/>
        <v>1.7777777777777777</v>
      </c>
      <c r="N21" s="1">
        <v>24.8</v>
      </c>
      <c r="O21" s="13">
        <f t="shared" si="3"/>
        <v>-150</v>
      </c>
      <c r="P21" s="44">
        <f t="shared" si="4"/>
        <v>-0.55555555555555558</v>
      </c>
    </row>
    <row r="22" spans="1:16" x14ac:dyDescent="0.35">
      <c r="A22" s="36">
        <v>21</v>
      </c>
      <c r="B22" s="2">
        <v>45531</v>
      </c>
      <c r="C22" s="1" t="s">
        <v>22</v>
      </c>
      <c r="D22" s="1" t="s">
        <v>17</v>
      </c>
      <c r="E22" s="1" t="s">
        <v>23</v>
      </c>
      <c r="F22" s="1" t="s">
        <v>19</v>
      </c>
      <c r="G22" s="1">
        <v>25</v>
      </c>
      <c r="H22" s="1">
        <v>21.15</v>
      </c>
      <c r="I22" s="1">
        <v>15</v>
      </c>
      <c r="J22" s="1">
        <f t="shared" si="0"/>
        <v>153.74999999999997</v>
      </c>
      <c r="K22" s="1">
        <v>40</v>
      </c>
      <c r="L22" s="1">
        <f t="shared" si="1"/>
        <v>471.25000000000006</v>
      </c>
      <c r="M22" s="3">
        <f t="shared" si="2"/>
        <v>3.0650406504065049</v>
      </c>
      <c r="N22" s="1">
        <v>13.8</v>
      </c>
      <c r="O22" s="13">
        <f t="shared" si="3"/>
        <v>-183.74999999999994</v>
      </c>
      <c r="P22" s="44">
        <f t="shared" si="4"/>
        <v>-1.1951219512195121</v>
      </c>
    </row>
    <row r="23" spans="1:16" x14ac:dyDescent="0.35">
      <c r="A23" s="36">
        <v>22</v>
      </c>
      <c r="B23" s="2">
        <v>45531</v>
      </c>
      <c r="C23" s="1" t="s">
        <v>22</v>
      </c>
      <c r="D23" s="1" t="s">
        <v>17</v>
      </c>
      <c r="E23" s="1" t="s">
        <v>23</v>
      </c>
      <c r="F23" s="1" t="s">
        <v>19</v>
      </c>
      <c r="G23" s="1">
        <v>75</v>
      </c>
      <c r="H23" s="1">
        <v>1.1000000000000001</v>
      </c>
      <c r="I23" s="1">
        <v>1</v>
      </c>
      <c r="J23" s="1">
        <f t="shared" si="0"/>
        <v>7.5000000000000071</v>
      </c>
      <c r="K23" s="1">
        <v>5</v>
      </c>
      <c r="L23" s="1">
        <f t="shared" si="1"/>
        <v>292.5</v>
      </c>
      <c r="M23" s="3">
        <f t="shared" si="2"/>
        <v>38.999999999999964</v>
      </c>
      <c r="N23" s="1">
        <v>1</v>
      </c>
      <c r="O23" s="13">
        <f t="shared" si="3"/>
        <v>-7.5000000000000071</v>
      </c>
      <c r="P23" s="44">
        <f t="shared" si="4"/>
        <v>-1</v>
      </c>
    </row>
    <row r="24" spans="1:16" x14ac:dyDescent="0.35">
      <c r="A24" s="36">
        <v>23</v>
      </c>
      <c r="B24" s="2">
        <v>45531</v>
      </c>
      <c r="C24" s="1" t="s">
        <v>22</v>
      </c>
      <c r="D24" s="1" t="s">
        <v>17</v>
      </c>
      <c r="E24" s="1" t="s">
        <v>23</v>
      </c>
      <c r="F24" s="1" t="s">
        <v>19</v>
      </c>
      <c r="G24" s="1">
        <v>75</v>
      </c>
      <c r="H24" s="1">
        <v>3.5</v>
      </c>
      <c r="I24" s="1">
        <v>1</v>
      </c>
      <c r="J24" s="1">
        <f t="shared" si="0"/>
        <v>187.5</v>
      </c>
      <c r="K24" s="1">
        <v>10</v>
      </c>
      <c r="L24" s="1">
        <f t="shared" si="1"/>
        <v>487.5</v>
      </c>
      <c r="M24" s="3">
        <f t="shared" si="2"/>
        <v>2.6</v>
      </c>
      <c r="N24" s="1">
        <v>4.1500000000000004</v>
      </c>
      <c r="O24" s="4">
        <f t="shared" si="3"/>
        <v>48.750000000000028</v>
      </c>
      <c r="P24" s="44">
        <f t="shared" si="4"/>
        <v>0.26000000000000018</v>
      </c>
    </row>
    <row r="25" spans="1:16" x14ac:dyDescent="0.35">
      <c r="A25" s="40">
        <v>24</v>
      </c>
      <c r="B25" s="19">
        <v>45531</v>
      </c>
      <c r="C25" s="18" t="s">
        <v>22</v>
      </c>
      <c r="D25" s="18" t="s">
        <v>17</v>
      </c>
      <c r="E25" s="18" t="s">
        <v>23</v>
      </c>
      <c r="F25" s="18" t="s">
        <v>19</v>
      </c>
      <c r="G25" s="18">
        <v>50</v>
      </c>
      <c r="H25" s="18">
        <v>18.5</v>
      </c>
      <c r="I25" s="18">
        <v>10</v>
      </c>
      <c r="J25" s="18">
        <f t="shared" si="0"/>
        <v>425</v>
      </c>
      <c r="K25" s="18">
        <v>30</v>
      </c>
      <c r="L25" s="18">
        <f t="shared" si="1"/>
        <v>575</v>
      </c>
      <c r="M25" s="20">
        <f t="shared" si="2"/>
        <v>1.3529411764705883</v>
      </c>
      <c r="N25" s="18">
        <v>0.2</v>
      </c>
      <c r="O25" s="21">
        <f t="shared" si="3"/>
        <v>-915</v>
      </c>
      <c r="P25" s="48">
        <f t="shared" si="4"/>
        <v>-2.1529411764705881</v>
      </c>
    </row>
    <row r="26" spans="1:16" x14ac:dyDescent="0.35">
      <c r="A26" s="36">
        <v>25</v>
      </c>
      <c r="B26" s="2">
        <v>45531</v>
      </c>
      <c r="C26" s="1" t="s">
        <v>22</v>
      </c>
      <c r="D26" s="1" t="s">
        <v>17</v>
      </c>
      <c r="E26" s="1" t="s">
        <v>23</v>
      </c>
      <c r="F26" s="1" t="s">
        <v>19</v>
      </c>
      <c r="G26" s="1">
        <v>25</v>
      </c>
      <c r="H26" s="1">
        <v>15.05</v>
      </c>
      <c r="I26" s="1">
        <v>10</v>
      </c>
      <c r="J26" s="1">
        <f t="shared" si="0"/>
        <v>126.25000000000001</v>
      </c>
      <c r="K26" s="1">
        <v>30</v>
      </c>
      <c r="L26" s="1">
        <f t="shared" si="1"/>
        <v>373.75</v>
      </c>
      <c r="M26" s="3">
        <f t="shared" si="2"/>
        <v>2.9603960396039599</v>
      </c>
      <c r="N26" s="1">
        <v>16</v>
      </c>
      <c r="O26" s="4">
        <f t="shared" si="3"/>
        <v>23.749999999999982</v>
      </c>
      <c r="P26" s="44">
        <f t="shared" si="4"/>
        <v>0.18811881188118795</v>
      </c>
    </row>
    <row r="27" spans="1:16" x14ac:dyDescent="0.35">
      <c r="A27" s="36">
        <v>27</v>
      </c>
      <c r="B27" s="2">
        <v>45532</v>
      </c>
      <c r="C27" s="1" t="s">
        <v>35</v>
      </c>
      <c r="D27" s="1" t="s">
        <v>17</v>
      </c>
      <c r="E27" s="1" t="s">
        <v>18</v>
      </c>
      <c r="F27" s="1" t="s">
        <v>36</v>
      </c>
      <c r="G27" s="1">
        <v>25</v>
      </c>
      <c r="H27" s="1">
        <v>8.1999999999999993</v>
      </c>
      <c r="I27" s="1">
        <v>5</v>
      </c>
      <c r="J27" s="1">
        <f t="shared" si="0"/>
        <v>79.999999999999986</v>
      </c>
      <c r="K27" s="1">
        <v>20</v>
      </c>
      <c r="L27" s="1">
        <f t="shared" si="1"/>
        <v>295</v>
      </c>
      <c r="M27" s="3">
        <f t="shared" si="2"/>
        <v>3.6875000000000004</v>
      </c>
      <c r="N27" s="1">
        <v>8.35</v>
      </c>
      <c r="O27" s="4">
        <f t="shared" si="3"/>
        <v>3.7500000000000089</v>
      </c>
      <c r="P27" s="44">
        <f t="shared" si="4"/>
        <v>4.6875000000000118E-2</v>
      </c>
    </row>
    <row r="28" spans="1:16" x14ac:dyDescent="0.35">
      <c r="A28" s="36">
        <v>28</v>
      </c>
      <c r="B28" s="2">
        <v>45532</v>
      </c>
      <c r="C28" s="1" t="s">
        <v>35</v>
      </c>
      <c r="D28" s="1" t="s">
        <v>17</v>
      </c>
      <c r="E28" s="1" t="s">
        <v>23</v>
      </c>
      <c r="F28" s="1" t="s">
        <v>36</v>
      </c>
      <c r="G28" s="1">
        <v>25</v>
      </c>
      <c r="H28" s="1">
        <v>8.1999999999999993</v>
      </c>
      <c r="I28" s="1">
        <v>5</v>
      </c>
      <c r="J28" s="1">
        <f t="shared" si="0"/>
        <v>79.999999999999986</v>
      </c>
      <c r="K28" s="1">
        <v>20</v>
      </c>
      <c r="L28" s="1">
        <f t="shared" si="1"/>
        <v>295</v>
      </c>
      <c r="M28" s="3">
        <f t="shared" si="2"/>
        <v>3.6875000000000004</v>
      </c>
      <c r="N28" s="1">
        <v>8.1</v>
      </c>
      <c r="O28" s="13">
        <f t="shared" si="3"/>
        <v>-2.4999999999999911</v>
      </c>
      <c r="P28" s="44">
        <f t="shared" si="4"/>
        <v>-3.1249999999999896E-2</v>
      </c>
    </row>
    <row r="29" spans="1:16" x14ac:dyDescent="0.35">
      <c r="A29" s="36">
        <v>29</v>
      </c>
      <c r="B29" s="2">
        <v>45532</v>
      </c>
      <c r="C29" s="1" t="s">
        <v>37</v>
      </c>
      <c r="D29" s="1" t="s">
        <v>17</v>
      </c>
      <c r="E29" s="1" t="s">
        <v>18</v>
      </c>
      <c r="F29" s="1" t="s">
        <v>19</v>
      </c>
      <c r="G29" s="1">
        <v>15</v>
      </c>
      <c r="H29" s="1">
        <v>4.3</v>
      </c>
      <c r="I29" s="1">
        <v>1</v>
      </c>
      <c r="J29" s="1">
        <f t="shared" si="0"/>
        <v>49.5</v>
      </c>
      <c r="K29" s="1">
        <v>10</v>
      </c>
      <c r="L29" s="1">
        <f t="shared" si="1"/>
        <v>85.5</v>
      </c>
      <c r="M29" s="3">
        <f t="shared" si="2"/>
        <v>1.7272727272727273</v>
      </c>
      <c r="N29" s="1">
        <v>1.85</v>
      </c>
      <c r="O29" s="13">
        <f t="shared" si="3"/>
        <v>-36.749999999999993</v>
      </c>
      <c r="P29" s="44">
        <f t="shared" si="4"/>
        <v>-0.74242424242424232</v>
      </c>
    </row>
    <row r="30" spans="1:16" x14ac:dyDescent="0.35">
      <c r="A30" s="36">
        <v>30</v>
      </c>
      <c r="B30" s="2">
        <v>45532</v>
      </c>
      <c r="C30" s="1" t="s">
        <v>38</v>
      </c>
      <c r="D30" s="1" t="s">
        <v>17</v>
      </c>
      <c r="E30" s="1" t="s">
        <v>18</v>
      </c>
      <c r="F30" s="1" t="s">
        <v>19</v>
      </c>
      <c r="G30" s="1">
        <v>15</v>
      </c>
      <c r="H30" s="1">
        <v>2.65</v>
      </c>
      <c r="I30" s="1">
        <v>1</v>
      </c>
      <c r="J30" s="1">
        <f t="shared" si="0"/>
        <v>24.75</v>
      </c>
      <c r="K30" s="1">
        <v>10</v>
      </c>
      <c r="L30" s="1">
        <f t="shared" si="1"/>
        <v>110.25</v>
      </c>
      <c r="M30" s="3">
        <f t="shared" si="2"/>
        <v>4.4545454545454541</v>
      </c>
      <c r="N30" s="1">
        <v>2.85</v>
      </c>
      <c r="O30" s="4">
        <f t="shared" si="3"/>
        <v>3.0000000000000027</v>
      </c>
      <c r="P30" s="44">
        <f t="shared" si="4"/>
        <v>0.12121212121212133</v>
      </c>
    </row>
    <row r="31" spans="1:16" x14ac:dyDescent="0.35">
      <c r="A31" s="41">
        <v>31</v>
      </c>
      <c r="B31" s="23">
        <v>45532</v>
      </c>
      <c r="C31" s="22" t="s">
        <v>39</v>
      </c>
      <c r="D31" s="22" t="s">
        <v>17</v>
      </c>
      <c r="E31" s="22" t="s">
        <v>21</v>
      </c>
      <c r="F31" s="22" t="s">
        <v>36</v>
      </c>
      <c r="G31" s="22">
        <v>25</v>
      </c>
      <c r="H31" s="22">
        <v>20.75</v>
      </c>
      <c r="I31" s="22">
        <v>17</v>
      </c>
      <c r="J31" s="22">
        <f t="shared" si="0"/>
        <v>93.75</v>
      </c>
      <c r="K31" s="22">
        <v>30</v>
      </c>
      <c r="L31" s="22">
        <f t="shared" si="1"/>
        <v>231.25</v>
      </c>
      <c r="M31" s="24">
        <f t="shared" si="2"/>
        <v>2.4666666666666668</v>
      </c>
      <c r="N31" s="22">
        <v>30.65</v>
      </c>
      <c r="O31" s="25">
        <f t="shared" si="3"/>
        <v>247.49999999999997</v>
      </c>
      <c r="P31" s="49">
        <f t="shared" si="4"/>
        <v>2.6399999999999997</v>
      </c>
    </row>
    <row r="32" spans="1:16" x14ac:dyDescent="0.35">
      <c r="A32" s="36">
        <v>32</v>
      </c>
      <c r="B32" s="2">
        <v>45533</v>
      </c>
      <c r="C32" s="1" t="s">
        <v>16</v>
      </c>
      <c r="D32" s="1" t="s">
        <v>17</v>
      </c>
      <c r="E32" s="1" t="s">
        <v>18</v>
      </c>
      <c r="F32" s="1" t="s">
        <v>40</v>
      </c>
      <c r="G32" s="1">
        <v>15</v>
      </c>
      <c r="H32" s="1">
        <v>4</v>
      </c>
      <c r="I32" s="1">
        <v>2</v>
      </c>
      <c r="J32" s="1">
        <f t="shared" si="0"/>
        <v>30</v>
      </c>
      <c r="K32" s="1">
        <v>10</v>
      </c>
      <c r="L32" s="1">
        <f t="shared" si="1"/>
        <v>90</v>
      </c>
      <c r="M32" s="3">
        <f t="shared" si="2"/>
        <v>3</v>
      </c>
      <c r="N32" s="1">
        <v>4.05</v>
      </c>
      <c r="O32" s="4">
        <f t="shared" si="3"/>
        <v>0.74999999999999734</v>
      </c>
      <c r="P32" s="44">
        <f t="shared" si="4"/>
        <v>2.4999999999999911E-2</v>
      </c>
    </row>
    <row r="33" spans="1:16" x14ac:dyDescent="0.35">
      <c r="A33" s="36">
        <v>33</v>
      </c>
      <c r="B33" s="2">
        <v>45533</v>
      </c>
      <c r="C33" s="1" t="s">
        <v>16</v>
      </c>
      <c r="D33" s="1" t="s">
        <v>17</v>
      </c>
      <c r="E33" s="1" t="s">
        <v>18</v>
      </c>
      <c r="F33" s="1" t="s">
        <v>40</v>
      </c>
      <c r="G33" s="1">
        <v>15</v>
      </c>
      <c r="H33" s="1">
        <v>4</v>
      </c>
      <c r="I33" s="1">
        <v>2</v>
      </c>
      <c r="J33" s="1">
        <f t="shared" si="0"/>
        <v>30</v>
      </c>
      <c r="K33" s="1">
        <v>10</v>
      </c>
      <c r="L33" s="1">
        <f t="shared" si="1"/>
        <v>90</v>
      </c>
      <c r="M33" s="3">
        <f t="shared" si="2"/>
        <v>3</v>
      </c>
      <c r="N33" s="26">
        <v>4.0999999999999996</v>
      </c>
      <c r="O33" s="4">
        <f t="shared" si="3"/>
        <v>1.4999999999999947</v>
      </c>
      <c r="P33" s="44">
        <f t="shared" si="4"/>
        <v>4.9999999999999822E-2</v>
      </c>
    </row>
    <row r="34" spans="1:16" x14ac:dyDescent="0.35">
      <c r="A34" s="36">
        <v>34</v>
      </c>
      <c r="B34" s="2">
        <v>45533</v>
      </c>
      <c r="C34" s="1" t="s">
        <v>26</v>
      </c>
      <c r="D34" s="1" t="s">
        <v>17</v>
      </c>
      <c r="E34" s="1" t="s">
        <v>21</v>
      </c>
      <c r="F34" s="1" t="s">
        <v>41</v>
      </c>
      <c r="G34" s="1">
        <v>25</v>
      </c>
      <c r="H34" s="1">
        <v>11.3</v>
      </c>
      <c r="I34" s="1">
        <v>8</v>
      </c>
      <c r="J34" s="1">
        <f t="shared" si="0"/>
        <v>82.500000000000014</v>
      </c>
      <c r="K34" s="1">
        <v>20</v>
      </c>
      <c r="L34" s="1">
        <f t="shared" si="1"/>
        <v>217.49999999999997</v>
      </c>
      <c r="M34" s="3">
        <f t="shared" si="2"/>
        <v>2.6363636363636354</v>
      </c>
      <c r="N34" s="1">
        <v>13.85</v>
      </c>
      <c r="O34" s="4">
        <f t="shared" si="3"/>
        <v>63.749999999999972</v>
      </c>
      <c r="P34" s="44">
        <f t="shared" si="4"/>
        <v>0.77272727272727226</v>
      </c>
    </row>
    <row r="35" spans="1:16" x14ac:dyDescent="0.35">
      <c r="A35" s="36">
        <v>35</v>
      </c>
      <c r="B35" s="2">
        <v>45533</v>
      </c>
      <c r="C35" s="1" t="s">
        <v>26</v>
      </c>
      <c r="D35" s="1" t="s">
        <v>17</v>
      </c>
      <c r="E35" s="1" t="s">
        <v>21</v>
      </c>
      <c r="F35" s="1" t="s">
        <v>41</v>
      </c>
      <c r="G35" s="1">
        <v>25</v>
      </c>
      <c r="H35" s="1">
        <v>2.5</v>
      </c>
      <c r="I35" s="1">
        <v>1</v>
      </c>
      <c r="J35" s="1">
        <f t="shared" si="0"/>
        <v>37.5</v>
      </c>
      <c r="K35" s="1">
        <v>10</v>
      </c>
      <c r="L35" s="1">
        <f t="shared" si="1"/>
        <v>187.5</v>
      </c>
      <c r="M35" s="3">
        <f t="shared" si="2"/>
        <v>5</v>
      </c>
      <c r="N35" s="1">
        <v>3.65</v>
      </c>
      <c r="O35" s="4">
        <f t="shared" si="3"/>
        <v>28.749999999999996</v>
      </c>
      <c r="P35" s="44">
        <f t="shared" si="4"/>
        <v>0.76666666666666661</v>
      </c>
    </row>
    <row r="36" spans="1:16" ht="112" x14ac:dyDescent="0.35">
      <c r="A36" s="38">
        <v>36</v>
      </c>
      <c r="B36" s="10">
        <v>45533</v>
      </c>
      <c r="C36" s="9" t="s">
        <v>26</v>
      </c>
      <c r="D36" s="9" t="s">
        <v>17</v>
      </c>
      <c r="E36" s="9" t="s">
        <v>21</v>
      </c>
      <c r="F36" s="27" t="s">
        <v>42</v>
      </c>
      <c r="G36" s="9">
        <v>25</v>
      </c>
      <c r="H36" s="9">
        <v>43</v>
      </c>
      <c r="I36" s="9">
        <v>38</v>
      </c>
      <c r="J36" s="9">
        <f t="shared" si="0"/>
        <v>125</v>
      </c>
      <c r="K36" s="9">
        <v>60</v>
      </c>
      <c r="L36" s="9">
        <f t="shared" si="1"/>
        <v>425</v>
      </c>
      <c r="M36" s="11">
        <f t="shared" si="2"/>
        <v>3.4</v>
      </c>
      <c r="N36" s="9">
        <v>31.15</v>
      </c>
      <c r="O36" s="12">
        <f t="shared" si="3"/>
        <v>-296.25000000000006</v>
      </c>
      <c r="P36" s="46">
        <f t="shared" si="4"/>
        <v>-2.3700000000000006</v>
      </c>
    </row>
    <row r="37" spans="1:16" x14ac:dyDescent="0.35">
      <c r="A37" s="36">
        <v>37</v>
      </c>
      <c r="B37" s="2">
        <v>45533</v>
      </c>
      <c r="C37" s="1" t="s">
        <v>26</v>
      </c>
      <c r="D37" s="1" t="s">
        <v>17</v>
      </c>
      <c r="E37" s="1" t="s">
        <v>21</v>
      </c>
      <c r="F37" s="1" t="s">
        <v>19</v>
      </c>
      <c r="G37" s="1">
        <v>25</v>
      </c>
      <c r="H37" s="1">
        <v>25.45</v>
      </c>
      <c r="I37" s="1">
        <v>20</v>
      </c>
      <c r="J37" s="1">
        <f t="shared" si="0"/>
        <v>136.24999999999997</v>
      </c>
      <c r="K37" s="1">
        <v>50</v>
      </c>
      <c r="L37" s="1">
        <f t="shared" si="1"/>
        <v>613.75</v>
      </c>
      <c r="M37" s="3">
        <f t="shared" si="2"/>
        <v>4.5045871559633035</v>
      </c>
      <c r="N37" s="1">
        <v>42.5</v>
      </c>
      <c r="O37" s="4">
        <f t="shared" si="3"/>
        <v>426.25</v>
      </c>
      <c r="P37" s="44">
        <f t="shared" si="4"/>
        <v>3.1284403669724776</v>
      </c>
    </row>
    <row r="38" spans="1:16" x14ac:dyDescent="0.35">
      <c r="A38" s="36">
        <v>38</v>
      </c>
      <c r="B38" s="2">
        <v>45533</v>
      </c>
      <c r="C38" s="1" t="s">
        <v>26</v>
      </c>
      <c r="D38" s="1" t="s">
        <v>17</v>
      </c>
      <c r="E38" s="1" t="s">
        <v>21</v>
      </c>
      <c r="F38" s="1" t="s">
        <v>19</v>
      </c>
      <c r="G38" s="1">
        <v>25</v>
      </c>
      <c r="H38" s="1">
        <v>53.7</v>
      </c>
      <c r="I38" s="1">
        <v>45</v>
      </c>
      <c r="J38" s="1">
        <f t="shared" si="0"/>
        <v>217.50000000000006</v>
      </c>
      <c r="K38" s="1">
        <v>65</v>
      </c>
      <c r="L38" s="1">
        <f t="shared" si="1"/>
        <v>282.49999999999994</v>
      </c>
      <c r="M38" s="3">
        <f t="shared" si="2"/>
        <v>1.2988505747126431</v>
      </c>
      <c r="N38" s="1">
        <v>45.55</v>
      </c>
      <c r="O38" s="13">
        <f t="shared" si="3"/>
        <v>-203.75000000000014</v>
      </c>
      <c r="P38" s="44">
        <f t="shared" si="4"/>
        <v>-0.93678160919540265</v>
      </c>
    </row>
    <row r="39" spans="1:16" x14ac:dyDescent="0.35">
      <c r="A39" s="36">
        <v>39</v>
      </c>
      <c r="B39" s="2">
        <v>45533</v>
      </c>
      <c r="C39" s="1" t="s">
        <v>26</v>
      </c>
      <c r="D39" s="1" t="s">
        <v>17</v>
      </c>
      <c r="E39" s="1" t="s">
        <v>21</v>
      </c>
      <c r="F39" s="1" t="s">
        <v>19</v>
      </c>
      <c r="G39" s="1">
        <v>25</v>
      </c>
      <c r="H39" s="1">
        <v>7.3</v>
      </c>
      <c r="I39" s="1">
        <v>4</v>
      </c>
      <c r="J39" s="1">
        <f t="shared" si="0"/>
        <v>82.5</v>
      </c>
      <c r="K39" s="1">
        <v>15</v>
      </c>
      <c r="L39" s="1">
        <f t="shared" si="1"/>
        <v>192.5</v>
      </c>
      <c r="M39" s="3">
        <f t="shared" si="2"/>
        <v>2.3333333333333335</v>
      </c>
      <c r="N39" s="1">
        <v>3.25</v>
      </c>
      <c r="O39" s="13">
        <f t="shared" si="3"/>
        <v>-101.25</v>
      </c>
      <c r="P39" s="44">
        <f t="shared" si="4"/>
        <v>-1.2272727272727273</v>
      </c>
    </row>
    <row r="40" spans="1:16" x14ac:dyDescent="0.35">
      <c r="A40" s="42">
        <v>40</v>
      </c>
      <c r="B40" s="29">
        <v>45534</v>
      </c>
      <c r="C40" s="28" t="s">
        <v>26</v>
      </c>
      <c r="D40" s="28" t="s">
        <v>43</v>
      </c>
      <c r="E40" s="28" t="s">
        <v>18</v>
      </c>
      <c r="F40" s="28" t="s">
        <v>44</v>
      </c>
      <c r="G40" s="28">
        <v>50</v>
      </c>
      <c r="H40" s="28">
        <v>1.05</v>
      </c>
      <c r="I40" s="28">
        <v>0.5</v>
      </c>
      <c r="J40" s="28">
        <f t="shared" si="0"/>
        <v>27.500000000000004</v>
      </c>
      <c r="K40" s="28">
        <v>15</v>
      </c>
      <c r="L40" s="28">
        <f t="shared" si="1"/>
        <v>697.5</v>
      </c>
      <c r="M40" s="30">
        <f t="shared" si="2"/>
        <v>25.36363636363636</v>
      </c>
      <c r="N40" s="28">
        <v>0.1</v>
      </c>
      <c r="O40" s="31">
        <f t="shared" si="3"/>
        <v>-47.5</v>
      </c>
      <c r="P40" s="44">
        <f t="shared" si="4"/>
        <v>-1.7272727272727271</v>
      </c>
    </row>
    <row r="41" spans="1:16" x14ac:dyDescent="0.35">
      <c r="A41" s="36">
        <v>41</v>
      </c>
      <c r="B41" s="2">
        <v>45534</v>
      </c>
      <c r="C41" s="1" t="s">
        <v>20</v>
      </c>
      <c r="D41" s="1" t="s">
        <v>17</v>
      </c>
      <c r="E41" s="1" t="s">
        <v>18</v>
      </c>
      <c r="F41" s="1" t="s">
        <v>19</v>
      </c>
      <c r="G41" s="1">
        <v>20</v>
      </c>
      <c r="H41" s="1">
        <v>30.4</v>
      </c>
      <c r="I41" s="1">
        <v>26</v>
      </c>
      <c r="J41" s="1">
        <f t="shared" si="0"/>
        <v>87.999999999999972</v>
      </c>
      <c r="K41" s="1">
        <v>40</v>
      </c>
      <c r="L41" s="1">
        <f t="shared" si="1"/>
        <v>192.00000000000003</v>
      </c>
      <c r="M41" s="3">
        <f t="shared" si="2"/>
        <v>2.181818181818183</v>
      </c>
      <c r="N41" s="1">
        <v>32.450000000000003</v>
      </c>
      <c r="O41" s="4">
        <f t="shared" si="3"/>
        <v>41.000000000000085</v>
      </c>
      <c r="P41" s="44">
        <f t="shared" si="4"/>
        <v>0.46590909090909205</v>
      </c>
    </row>
    <row r="42" spans="1:16" x14ac:dyDescent="0.35">
      <c r="A42" s="36">
        <v>42</v>
      </c>
      <c r="B42" s="2">
        <v>45534</v>
      </c>
      <c r="C42" s="1" t="s">
        <v>20</v>
      </c>
      <c r="D42" s="1" t="s">
        <v>17</v>
      </c>
      <c r="E42" s="1" t="s">
        <v>18</v>
      </c>
      <c r="F42" s="1" t="s">
        <v>19</v>
      </c>
      <c r="G42" s="1">
        <v>20</v>
      </c>
      <c r="H42" s="1">
        <v>19</v>
      </c>
      <c r="I42" s="1">
        <v>10</v>
      </c>
      <c r="J42" s="1">
        <f t="shared" si="0"/>
        <v>180</v>
      </c>
      <c r="K42" s="1">
        <v>30</v>
      </c>
      <c r="L42" s="1">
        <f t="shared" si="1"/>
        <v>220</v>
      </c>
      <c r="M42" s="3">
        <f t="shared" si="2"/>
        <v>1.2222222222222223</v>
      </c>
      <c r="N42" s="1">
        <v>13.65</v>
      </c>
      <c r="O42" s="13">
        <f t="shared" si="3"/>
        <v>-107</v>
      </c>
      <c r="P42" s="44">
        <f t="shared" si="4"/>
        <v>-0.59444444444444444</v>
      </c>
    </row>
    <row r="43" spans="1:16" x14ac:dyDescent="0.35">
      <c r="A43" s="36">
        <v>43</v>
      </c>
      <c r="B43" s="2">
        <v>45534</v>
      </c>
      <c r="C43" s="1" t="s">
        <v>20</v>
      </c>
      <c r="D43" s="1" t="s">
        <v>17</v>
      </c>
      <c r="E43" s="1" t="s">
        <v>18</v>
      </c>
      <c r="F43" s="1" t="s">
        <v>19</v>
      </c>
      <c r="G43" s="1">
        <v>10</v>
      </c>
      <c r="H43" s="1">
        <v>35</v>
      </c>
      <c r="I43" s="1">
        <v>30</v>
      </c>
      <c r="J43" s="1">
        <f t="shared" si="0"/>
        <v>50</v>
      </c>
      <c r="K43" s="1">
        <v>45</v>
      </c>
      <c r="L43" s="1">
        <f t="shared" si="1"/>
        <v>100</v>
      </c>
      <c r="M43" s="3">
        <f t="shared" si="2"/>
        <v>2</v>
      </c>
      <c r="N43" s="1">
        <v>41.7</v>
      </c>
      <c r="O43" s="4">
        <f t="shared" si="3"/>
        <v>67.000000000000028</v>
      </c>
      <c r="P43" s="44">
        <f t="shared" si="4"/>
        <v>1.3400000000000005</v>
      </c>
    </row>
    <row r="44" spans="1:16" x14ac:dyDescent="0.35">
      <c r="A44" s="36">
        <v>44</v>
      </c>
      <c r="B44" s="2">
        <v>45534</v>
      </c>
      <c r="C44" s="1" t="s">
        <v>20</v>
      </c>
      <c r="D44" s="1" t="s">
        <v>17</v>
      </c>
      <c r="E44" s="1" t="s">
        <v>18</v>
      </c>
      <c r="F44" s="1" t="s">
        <v>19</v>
      </c>
      <c r="G44" s="1">
        <v>10</v>
      </c>
      <c r="H44" s="1">
        <v>21.2</v>
      </c>
      <c r="I44" s="1">
        <v>20</v>
      </c>
      <c r="J44" s="1">
        <f t="shared" si="0"/>
        <v>11.999999999999993</v>
      </c>
      <c r="K44" s="1">
        <v>32</v>
      </c>
      <c r="L44" s="1">
        <f t="shared" si="1"/>
        <v>108</v>
      </c>
      <c r="M44" s="3">
        <f t="shared" si="2"/>
        <v>9.0000000000000053</v>
      </c>
      <c r="N44" s="1">
        <v>23.4</v>
      </c>
      <c r="O44" s="4">
        <f t="shared" si="3"/>
        <v>21.999999999999993</v>
      </c>
      <c r="P44" s="44">
        <f t="shared" si="4"/>
        <v>1.8333333333333339</v>
      </c>
    </row>
    <row r="45" spans="1:16" x14ac:dyDescent="0.35">
      <c r="A45" s="36">
        <v>45</v>
      </c>
      <c r="B45" s="2">
        <v>45534</v>
      </c>
      <c r="C45" s="1" t="s">
        <v>20</v>
      </c>
      <c r="D45" s="1" t="s">
        <v>17</v>
      </c>
      <c r="E45" s="1" t="s">
        <v>18</v>
      </c>
      <c r="F45" s="1" t="s">
        <v>19</v>
      </c>
      <c r="G45" s="1">
        <v>10</v>
      </c>
      <c r="H45" s="1">
        <v>29</v>
      </c>
      <c r="I45" s="1">
        <v>25</v>
      </c>
      <c r="J45" s="1">
        <f t="shared" si="0"/>
        <v>40</v>
      </c>
      <c r="K45" s="1">
        <v>45</v>
      </c>
      <c r="L45" s="1">
        <f t="shared" si="1"/>
        <v>160</v>
      </c>
      <c r="M45" s="3">
        <f t="shared" si="2"/>
        <v>4</v>
      </c>
      <c r="N45" s="1">
        <v>31.65</v>
      </c>
      <c r="O45" s="4">
        <f t="shared" si="3"/>
        <v>26.499999999999986</v>
      </c>
      <c r="P45" s="44">
        <f t="shared" si="4"/>
        <v>0.66249999999999964</v>
      </c>
    </row>
    <row r="46" spans="1:16" x14ac:dyDescent="0.35">
      <c r="A46" s="36">
        <v>46</v>
      </c>
      <c r="B46" s="2">
        <v>45537</v>
      </c>
      <c r="C46" s="1" t="s">
        <v>32</v>
      </c>
      <c r="D46" s="1" t="s">
        <v>17</v>
      </c>
      <c r="E46" s="1" t="s">
        <v>18</v>
      </c>
      <c r="F46" s="1" t="s">
        <v>19</v>
      </c>
      <c r="G46" s="1">
        <v>50</v>
      </c>
      <c r="H46" s="1">
        <v>1.7</v>
      </c>
      <c r="I46" s="1">
        <v>1</v>
      </c>
      <c r="J46" s="1">
        <f t="shared" si="0"/>
        <v>35</v>
      </c>
      <c r="K46" s="1">
        <v>5</v>
      </c>
      <c r="L46" s="1">
        <f t="shared" si="1"/>
        <v>165</v>
      </c>
      <c r="M46" s="3">
        <f t="shared" si="2"/>
        <v>4.7142857142857144</v>
      </c>
      <c r="N46" s="1">
        <v>2.7</v>
      </c>
      <c r="O46" s="4">
        <f t="shared" si="3"/>
        <v>50.000000000000014</v>
      </c>
      <c r="P46" s="44">
        <f t="shared" si="4"/>
        <v>1.428571428571429</v>
      </c>
    </row>
    <row r="47" spans="1:16" x14ac:dyDescent="0.35">
      <c r="A47" s="36">
        <v>47</v>
      </c>
      <c r="B47" s="2">
        <v>45537</v>
      </c>
      <c r="C47" s="1" t="s">
        <v>32</v>
      </c>
      <c r="D47" s="1" t="s">
        <v>17</v>
      </c>
      <c r="E47" s="1" t="s">
        <v>21</v>
      </c>
      <c r="F47" s="1" t="s">
        <v>19</v>
      </c>
      <c r="G47" s="1">
        <v>50</v>
      </c>
      <c r="H47" s="1">
        <v>1.9</v>
      </c>
      <c r="I47" s="1">
        <v>1</v>
      </c>
      <c r="J47" s="1">
        <f t="shared" si="0"/>
        <v>44.999999999999993</v>
      </c>
      <c r="K47" s="1">
        <v>10</v>
      </c>
      <c r="L47" s="1">
        <f t="shared" si="1"/>
        <v>405</v>
      </c>
      <c r="M47" s="3">
        <f t="shared" si="2"/>
        <v>9.0000000000000018</v>
      </c>
      <c r="N47" s="1">
        <v>1.25</v>
      </c>
      <c r="O47" s="13">
        <f t="shared" si="3"/>
        <v>-32.499999999999993</v>
      </c>
      <c r="P47" s="44">
        <f t="shared" si="4"/>
        <v>-0.72222222222222221</v>
      </c>
    </row>
    <row r="48" spans="1:16" x14ac:dyDescent="0.35">
      <c r="A48" s="36">
        <v>48</v>
      </c>
      <c r="B48" s="2">
        <v>45537</v>
      </c>
      <c r="C48" s="1" t="s">
        <v>32</v>
      </c>
      <c r="D48" s="1" t="s">
        <v>17</v>
      </c>
      <c r="E48" s="1" t="s">
        <v>21</v>
      </c>
      <c r="F48" s="1" t="s">
        <v>19</v>
      </c>
      <c r="G48" s="1">
        <v>50</v>
      </c>
      <c r="H48" s="1">
        <v>1.3</v>
      </c>
      <c r="I48" s="1">
        <v>1</v>
      </c>
      <c r="J48" s="1">
        <f t="shared" si="0"/>
        <v>15.000000000000002</v>
      </c>
      <c r="K48" s="1">
        <v>5</v>
      </c>
      <c r="L48" s="1">
        <f t="shared" si="1"/>
        <v>185</v>
      </c>
      <c r="M48" s="3">
        <f t="shared" si="2"/>
        <v>12.333333333333332</v>
      </c>
      <c r="N48" s="1">
        <v>0.55000000000000004</v>
      </c>
      <c r="O48" s="13">
        <f t="shared" si="3"/>
        <v>-37.5</v>
      </c>
      <c r="P48" s="44">
        <f t="shared" si="4"/>
        <v>-2.4999999999999996</v>
      </c>
    </row>
    <row r="49" spans="1:16" x14ac:dyDescent="0.35">
      <c r="A49" s="36">
        <v>49</v>
      </c>
      <c r="B49" s="2">
        <v>45537</v>
      </c>
      <c r="C49" s="1" t="s">
        <v>26</v>
      </c>
      <c r="D49" s="1" t="s">
        <v>17</v>
      </c>
      <c r="E49" s="1" t="s">
        <v>21</v>
      </c>
      <c r="F49" s="1" t="s">
        <v>41</v>
      </c>
      <c r="G49" s="1">
        <v>25</v>
      </c>
      <c r="H49" s="1">
        <v>11.55</v>
      </c>
      <c r="I49" s="1">
        <v>7</v>
      </c>
      <c r="J49" s="1">
        <f t="shared" si="0"/>
        <v>113.75000000000001</v>
      </c>
      <c r="K49" s="1">
        <v>20</v>
      </c>
      <c r="L49" s="1">
        <f t="shared" si="1"/>
        <v>211.24999999999997</v>
      </c>
      <c r="M49" s="3">
        <f t="shared" si="2"/>
        <v>1.8571428571428568</v>
      </c>
      <c r="N49" s="1">
        <v>11.1</v>
      </c>
      <c r="O49" s="13">
        <f t="shared" si="3"/>
        <v>-11.250000000000027</v>
      </c>
      <c r="P49" s="44">
        <f t="shared" si="4"/>
        <v>-9.8901098901099119E-2</v>
      </c>
    </row>
    <row r="50" spans="1:16" x14ac:dyDescent="0.35">
      <c r="A50" s="36">
        <v>50</v>
      </c>
      <c r="B50" s="2">
        <v>45537</v>
      </c>
      <c r="C50" s="1" t="s">
        <v>32</v>
      </c>
      <c r="D50" s="1" t="s">
        <v>17</v>
      </c>
      <c r="E50" s="1" t="s">
        <v>21</v>
      </c>
      <c r="F50" s="1" t="s">
        <v>19</v>
      </c>
      <c r="G50" s="1">
        <v>50</v>
      </c>
      <c r="H50" s="1">
        <v>9</v>
      </c>
      <c r="I50" s="1">
        <v>5</v>
      </c>
      <c r="J50" s="1">
        <f t="shared" si="0"/>
        <v>200</v>
      </c>
      <c r="K50" s="1">
        <v>15</v>
      </c>
      <c r="L50" s="1">
        <f t="shared" si="1"/>
        <v>300</v>
      </c>
      <c r="M50" s="3">
        <f t="shared" si="2"/>
        <v>1.5</v>
      </c>
      <c r="N50" s="1">
        <v>10.1</v>
      </c>
      <c r="O50" s="4">
        <f t="shared" si="3"/>
        <v>54.999999999999986</v>
      </c>
      <c r="P50" s="44">
        <f t="shared" si="4"/>
        <v>0.27499999999999991</v>
      </c>
    </row>
    <row r="51" spans="1:16" x14ac:dyDescent="0.35">
      <c r="A51" s="36">
        <v>51</v>
      </c>
      <c r="B51" s="2">
        <v>45537</v>
      </c>
      <c r="C51" s="1" t="s">
        <v>32</v>
      </c>
      <c r="D51" s="1" t="s">
        <v>17</v>
      </c>
      <c r="E51" s="1" t="s">
        <v>21</v>
      </c>
      <c r="F51" s="1" t="s">
        <v>19</v>
      </c>
      <c r="G51" s="1">
        <v>50</v>
      </c>
      <c r="H51" s="1">
        <v>5</v>
      </c>
      <c r="I51" s="1">
        <v>2</v>
      </c>
      <c r="J51" s="1">
        <f t="shared" si="0"/>
        <v>150</v>
      </c>
      <c r="K51" s="1">
        <v>10</v>
      </c>
      <c r="L51" s="1">
        <f t="shared" si="1"/>
        <v>250</v>
      </c>
      <c r="M51" s="3">
        <f t="shared" si="2"/>
        <v>1.6666666666666667</v>
      </c>
      <c r="N51" s="1">
        <v>5.9</v>
      </c>
      <c r="O51" s="4">
        <f t="shared" si="3"/>
        <v>45.000000000000014</v>
      </c>
      <c r="P51" s="44">
        <f t="shared" si="4"/>
        <v>0.3000000000000001</v>
      </c>
    </row>
    <row r="52" spans="1:16" x14ac:dyDescent="0.35">
      <c r="A52" s="36">
        <v>52</v>
      </c>
      <c r="B52" s="2">
        <v>45538</v>
      </c>
      <c r="C52" s="1" t="s">
        <v>22</v>
      </c>
      <c r="D52" s="1" t="s">
        <v>43</v>
      </c>
      <c r="E52" s="1" t="s">
        <v>45</v>
      </c>
      <c r="F52" s="1" t="s">
        <v>19</v>
      </c>
      <c r="G52" s="1">
        <v>25</v>
      </c>
      <c r="H52" s="1">
        <v>21.85</v>
      </c>
      <c r="I52" s="1">
        <v>2</v>
      </c>
      <c r="J52" s="1">
        <f t="shared" si="0"/>
        <v>496.25000000000006</v>
      </c>
      <c r="K52" s="1">
        <v>30</v>
      </c>
      <c r="L52" s="1">
        <f t="shared" si="1"/>
        <v>203.74999999999997</v>
      </c>
      <c r="M52" s="3">
        <f t="shared" si="2"/>
        <v>0.41057934508816113</v>
      </c>
      <c r="N52" s="1">
        <v>24.2</v>
      </c>
      <c r="O52" s="4">
        <f t="shared" si="3"/>
        <v>58.749999999999943</v>
      </c>
      <c r="P52" s="44">
        <f t="shared" si="4"/>
        <v>0.11838790931989912</v>
      </c>
    </row>
    <row r="53" spans="1:16" x14ac:dyDescent="0.35">
      <c r="A53" s="36">
        <v>53</v>
      </c>
      <c r="B53" s="2">
        <v>45538</v>
      </c>
      <c r="C53" s="1" t="s">
        <v>22</v>
      </c>
      <c r="D53" s="1" t="s">
        <v>17</v>
      </c>
      <c r="E53" s="1" t="s">
        <v>21</v>
      </c>
      <c r="F53" s="1" t="s">
        <v>19</v>
      </c>
      <c r="G53" s="1">
        <v>25</v>
      </c>
      <c r="H53" s="1">
        <v>20.95</v>
      </c>
      <c r="I53" s="1">
        <v>15</v>
      </c>
      <c r="J53" s="1">
        <f t="shared" si="0"/>
        <v>148.74999999999997</v>
      </c>
      <c r="K53" s="1">
        <v>30</v>
      </c>
      <c r="L53" s="1">
        <f t="shared" si="1"/>
        <v>226.25000000000003</v>
      </c>
      <c r="M53" s="3">
        <f t="shared" si="2"/>
        <v>1.5210084033613451</v>
      </c>
      <c r="N53" s="1">
        <v>22.4</v>
      </c>
      <c r="O53" s="4">
        <f t="shared" si="3"/>
        <v>36.249999999999986</v>
      </c>
      <c r="P53" s="44">
        <f t="shared" si="4"/>
        <v>0.24369747899159658</v>
      </c>
    </row>
    <row r="54" spans="1:16" x14ac:dyDescent="0.35">
      <c r="A54" s="36">
        <v>54</v>
      </c>
      <c r="B54" s="2">
        <v>45538</v>
      </c>
      <c r="C54" s="1" t="s">
        <v>22</v>
      </c>
      <c r="D54" s="1" t="s">
        <v>17</v>
      </c>
      <c r="E54" s="1" t="s">
        <v>21</v>
      </c>
      <c r="F54" s="1" t="s">
        <v>19</v>
      </c>
      <c r="G54" s="1">
        <v>25</v>
      </c>
      <c r="H54" s="1">
        <v>21.5</v>
      </c>
      <c r="I54" s="1">
        <v>16</v>
      </c>
      <c r="J54" s="1">
        <f t="shared" si="0"/>
        <v>137.5</v>
      </c>
      <c r="K54" s="1">
        <v>30</v>
      </c>
      <c r="L54" s="1">
        <f t="shared" si="1"/>
        <v>212.5</v>
      </c>
      <c r="M54" s="3">
        <f t="shared" si="2"/>
        <v>1.5454545454545454</v>
      </c>
      <c r="N54" s="1">
        <v>31.4</v>
      </c>
      <c r="O54" s="4">
        <f t="shared" si="3"/>
        <v>247.49999999999997</v>
      </c>
      <c r="P54" s="44">
        <f t="shared" si="4"/>
        <v>1.7999999999999998</v>
      </c>
    </row>
    <row r="55" spans="1:16" x14ac:dyDescent="0.35">
      <c r="A55" s="36">
        <v>55</v>
      </c>
      <c r="B55" s="2">
        <v>45538</v>
      </c>
      <c r="C55" s="1" t="s">
        <v>22</v>
      </c>
      <c r="D55" s="1" t="s">
        <v>17</v>
      </c>
      <c r="E55" s="1" t="s">
        <v>21</v>
      </c>
      <c r="F55" s="1" t="s">
        <v>19</v>
      </c>
      <c r="G55" s="1">
        <v>25</v>
      </c>
      <c r="H55" s="1">
        <v>18.399999999999999</v>
      </c>
      <c r="I55" s="1">
        <v>13</v>
      </c>
      <c r="J55" s="1">
        <f t="shared" si="0"/>
        <v>134.99999999999997</v>
      </c>
      <c r="K55" s="1">
        <v>28</v>
      </c>
      <c r="L55" s="1">
        <f t="shared" si="1"/>
        <v>240.00000000000003</v>
      </c>
      <c r="M55" s="3">
        <f t="shared" si="2"/>
        <v>1.7777777777777783</v>
      </c>
      <c r="N55" s="1">
        <v>23.6</v>
      </c>
      <c r="O55" s="4">
        <f t="shared" si="3"/>
        <v>130.00000000000006</v>
      </c>
      <c r="P55" s="44">
        <f t="shared" si="4"/>
        <v>0.96296296296296358</v>
      </c>
    </row>
    <row r="56" spans="1:16" x14ac:dyDescent="0.35">
      <c r="A56" s="36">
        <v>56</v>
      </c>
      <c r="B56" s="2">
        <v>45538</v>
      </c>
      <c r="C56" s="1" t="s">
        <v>22</v>
      </c>
      <c r="D56" s="1" t="s">
        <v>17</v>
      </c>
      <c r="E56" s="1" t="s">
        <v>23</v>
      </c>
      <c r="F56" s="1" t="s">
        <v>19</v>
      </c>
      <c r="G56" s="1">
        <v>25</v>
      </c>
      <c r="H56" s="1">
        <v>17.45</v>
      </c>
      <c r="I56" s="1">
        <v>12</v>
      </c>
      <c r="J56" s="1">
        <f t="shared" si="0"/>
        <v>136.24999999999997</v>
      </c>
      <c r="K56" s="1">
        <v>25</v>
      </c>
      <c r="L56" s="1">
        <f t="shared" si="1"/>
        <v>188.75000000000003</v>
      </c>
      <c r="M56" s="3">
        <f t="shared" si="2"/>
        <v>1.3853211009174318</v>
      </c>
      <c r="N56" s="1">
        <v>24.6</v>
      </c>
      <c r="O56" s="4">
        <f t="shared" si="3"/>
        <v>178.75000000000006</v>
      </c>
      <c r="P56" s="44">
        <f t="shared" si="4"/>
        <v>1.311926605504588</v>
      </c>
    </row>
    <row r="57" spans="1:16" x14ac:dyDescent="0.35">
      <c r="A57" s="36">
        <v>57</v>
      </c>
      <c r="B57" s="2">
        <v>45538</v>
      </c>
      <c r="C57" s="1" t="s">
        <v>22</v>
      </c>
      <c r="D57" s="1" t="s">
        <v>17</v>
      </c>
      <c r="E57" s="1" t="s">
        <v>23</v>
      </c>
      <c r="F57" s="1" t="s">
        <v>19</v>
      </c>
      <c r="G57" s="1">
        <v>25</v>
      </c>
      <c r="H57" s="1">
        <v>16.2</v>
      </c>
      <c r="I57" s="1">
        <v>11</v>
      </c>
      <c r="J57" s="1">
        <f t="shared" si="0"/>
        <v>129.99999999999997</v>
      </c>
      <c r="K57" s="1">
        <v>26</v>
      </c>
      <c r="L57" s="1">
        <f t="shared" si="1"/>
        <v>245.00000000000003</v>
      </c>
      <c r="M57" s="3">
        <f t="shared" si="2"/>
        <v>1.8846153846153852</v>
      </c>
      <c r="N57" s="1">
        <v>18.350000000000001</v>
      </c>
      <c r="O57" s="4">
        <f t="shared" si="3"/>
        <v>53.750000000000057</v>
      </c>
      <c r="P57" s="44">
        <f t="shared" si="4"/>
        <v>0.41346153846153899</v>
      </c>
    </row>
    <row r="58" spans="1:16" ht="58" x14ac:dyDescent="0.35">
      <c r="A58" s="36">
        <v>58</v>
      </c>
      <c r="B58" s="2">
        <v>45539</v>
      </c>
      <c r="C58" s="1" t="s">
        <v>32</v>
      </c>
      <c r="D58" s="1" t="s">
        <v>17</v>
      </c>
      <c r="E58" s="1" t="s">
        <v>18</v>
      </c>
      <c r="F58" s="32" t="s">
        <v>46</v>
      </c>
      <c r="G58" s="1">
        <v>50</v>
      </c>
      <c r="H58" s="1">
        <v>17</v>
      </c>
      <c r="I58" s="1">
        <v>12</v>
      </c>
      <c r="J58" s="1">
        <f t="shared" si="0"/>
        <v>250</v>
      </c>
      <c r="K58" s="1">
        <v>27</v>
      </c>
      <c r="L58" s="1">
        <f t="shared" si="1"/>
        <v>500</v>
      </c>
      <c r="M58" s="3">
        <f t="shared" si="2"/>
        <v>2</v>
      </c>
      <c r="N58" s="1">
        <v>14.1</v>
      </c>
      <c r="O58" s="13">
        <f t="shared" si="3"/>
        <v>-145.00000000000003</v>
      </c>
      <c r="P58" s="44">
        <f t="shared" si="4"/>
        <v>-0.58000000000000007</v>
      </c>
    </row>
    <row r="59" spans="1:16" ht="58" x14ac:dyDescent="0.35">
      <c r="A59" s="36">
        <v>59</v>
      </c>
      <c r="B59" s="2">
        <v>45539</v>
      </c>
      <c r="C59" s="1" t="s">
        <v>32</v>
      </c>
      <c r="D59" s="1" t="s">
        <v>17</v>
      </c>
      <c r="E59" s="1" t="s">
        <v>18</v>
      </c>
      <c r="F59" s="32" t="s">
        <v>46</v>
      </c>
      <c r="G59" s="1">
        <v>50</v>
      </c>
      <c r="H59" s="1">
        <v>10.95</v>
      </c>
      <c r="I59" s="1">
        <v>5</v>
      </c>
      <c r="J59" s="1">
        <f t="shared" si="0"/>
        <v>297.49999999999994</v>
      </c>
      <c r="K59" s="1">
        <v>20</v>
      </c>
      <c r="L59" s="1">
        <f t="shared" si="1"/>
        <v>452.50000000000006</v>
      </c>
      <c r="M59" s="3">
        <f t="shared" si="2"/>
        <v>1.5210084033613451</v>
      </c>
      <c r="N59" s="1">
        <v>11.2</v>
      </c>
      <c r="O59" s="4">
        <f t="shared" si="3"/>
        <v>12.5</v>
      </c>
      <c r="P59" s="44">
        <f t="shared" si="4"/>
        <v>4.2016806722689086E-2</v>
      </c>
    </row>
    <row r="60" spans="1:16" ht="58" x14ac:dyDescent="0.35">
      <c r="A60" s="36">
        <v>60</v>
      </c>
      <c r="B60" s="2">
        <v>45539</v>
      </c>
      <c r="C60" s="1" t="s">
        <v>32</v>
      </c>
      <c r="D60" s="1" t="s">
        <v>17</v>
      </c>
      <c r="E60" s="1" t="s">
        <v>18</v>
      </c>
      <c r="F60" s="32" t="s">
        <v>46</v>
      </c>
      <c r="G60" s="1">
        <v>50</v>
      </c>
      <c r="H60" s="1">
        <v>11.95</v>
      </c>
      <c r="I60" s="1">
        <v>6</v>
      </c>
      <c r="J60" s="1">
        <f t="shared" si="0"/>
        <v>297.49999999999994</v>
      </c>
      <c r="K60" s="1">
        <v>20</v>
      </c>
      <c r="L60" s="1">
        <f t="shared" si="1"/>
        <v>402.50000000000006</v>
      </c>
      <c r="M60" s="3">
        <f t="shared" si="2"/>
        <v>1.3529411764705888</v>
      </c>
      <c r="N60" s="1">
        <v>11.9</v>
      </c>
      <c r="O60" s="13">
        <f t="shared" si="3"/>
        <v>-2.4999999999999467</v>
      </c>
      <c r="P60" s="44">
        <f t="shared" si="4"/>
        <v>-8.4033613445376378E-3</v>
      </c>
    </row>
    <row r="61" spans="1:16" ht="58" x14ac:dyDescent="0.35">
      <c r="A61" s="36">
        <v>61</v>
      </c>
      <c r="B61" s="2">
        <v>45539</v>
      </c>
      <c r="C61" s="1" t="s">
        <v>26</v>
      </c>
      <c r="D61" s="1" t="s">
        <v>17</v>
      </c>
      <c r="E61" s="1" t="s">
        <v>18</v>
      </c>
      <c r="F61" s="32" t="s">
        <v>46</v>
      </c>
      <c r="G61" s="1">
        <v>25</v>
      </c>
      <c r="H61" s="1">
        <v>22.35</v>
      </c>
      <c r="I61" s="1">
        <v>17</v>
      </c>
      <c r="J61" s="1">
        <f t="shared" si="0"/>
        <v>133.75000000000003</v>
      </c>
      <c r="K61" s="1">
        <v>30</v>
      </c>
      <c r="L61" s="1">
        <f t="shared" si="1"/>
        <v>191.24999999999997</v>
      </c>
      <c r="M61" s="3">
        <f t="shared" si="2"/>
        <v>1.4299065420560741</v>
      </c>
      <c r="N61" s="1">
        <v>19.8</v>
      </c>
      <c r="O61" s="13">
        <f t="shared" si="3"/>
        <v>-63.750000000000014</v>
      </c>
      <c r="P61" s="44">
        <f t="shared" si="4"/>
        <v>-0.47663551401869159</v>
      </c>
    </row>
    <row r="62" spans="1:16" x14ac:dyDescent="0.35">
      <c r="A62" s="36">
        <v>62</v>
      </c>
      <c r="B62" s="2">
        <v>45539</v>
      </c>
      <c r="C62" s="1" t="s">
        <v>16</v>
      </c>
      <c r="D62" s="1" t="s">
        <v>17</v>
      </c>
      <c r="E62" s="1" t="s">
        <v>18</v>
      </c>
      <c r="F62" s="1" t="s">
        <v>24</v>
      </c>
      <c r="G62" s="1">
        <v>15</v>
      </c>
      <c r="H62" s="1">
        <v>19.100000000000001</v>
      </c>
      <c r="I62" s="1">
        <v>14</v>
      </c>
      <c r="J62" s="1">
        <f t="shared" si="0"/>
        <v>76.500000000000028</v>
      </c>
      <c r="K62" s="1">
        <v>25</v>
      </c>
      <c r="L62" s="1">
        <f t="shared" si="1"/>
        <v>88.499999999999972</v>
      </c>
      <c r="M62" s="3">
        <f t="shared" si="2"/>
        <v>1.1568627450980384</v>
      </c>
      <c r="N62" s="1">
        <v>13.75</v>
      </c>
      <c r="O62" s="13">
        <f t="shared" si="3"/>
        <v>-80.250000000000028</v>
      </c>
      <c r="P62" s="44">
        <f t="shared" si="4"/>
        <v>-1.0490196078431373</v>
      </c>
    </row>
    <row r="63" spans="1:16" x14ac:dyDescent="0.35">
      <c r="A63" s="36">
        <v>63</v>
      </c>
      <c r="B63" s="2">
        <v>45539</v>
      </c>
      <c r="C63" s="1" t="s">
        <v>16</v>
      </c>
      <c r="D63" s="1" t="s">
        <v>17</v>
      </c>
      <c r="E63" s="1" t="s">
        <v>18</v>
      </c>
      <c r="F63" s="1" t="s">
        <v>24</v>
      </c>
      <c r="G63" s="1">
        <v>15</v>
      </c>
      <c r="H63" s="1">
        <v>37.85</v>
      </c>
      <c r="I63" s="1">
        <v>31</v>
      </c>
      <c r="J63" s="1">
        <f t="shared" si="0"/>
        <v>102.75000000000003</v>
      </c>
      <c r="K63" s="1">
        <v>45</v>
      </c>
      <c r="L63" s="1">
        <f t="shared" si="1"/>
        <v>107.24999999999997</v>
      </c>
      <c r="M63" s="3">
        <f t="shared" si="2"/>
        <v>1.0437956204379557</v>
      </c>
      <c r="N63" s="1">
        <v>31.95</v>
      </c>
      <c r="O63" s="13">
        <f t="shared" si="3"/>
        <v>-88.500000000000028</v>
      </c>
      <c r="P63" s="44">
        <f t="shared" si="4"/>
        <v>-0.86131386861313874</v>
      </c>
    </row>
    <row r="64" spans="1:16" ht="58" x14ac:dyDescent="0.35">
      <c r="A64" s="36">
        <v>64</v>
      </c>
      <c r="B64" s="2">
        <v>45539</v>
      </c>
      <c r="C64" s="1" t="s">
        <v>26</v>
      </c>
      <c r="D64" s="1" t="s">
        <v>17</v>
      </c>
      <c r="E64" s="1" t="s">
        <v>18</v>
      </c>
      <c r="F64" s="32" t="s">
        <v>46</v>
      </c>
      <c r="G64" s="1">
        <v>25</v>
      </c>
      <c r="H64" s="1">
        <v>15.75</v>
      </c>
      <c r="I64" s="1">
        <v>10</v>
      </c>
      <c r="J64" s="1">
        <f t="shared" si="0"/>
        <v>143.75</v>
      </c>
      <c r="K64" s="1">
        <v>27</v>
      </c>
      <c r="L64" s="1">
        <f t="shared" si="1"/>
        <v>281.25</v>
      </c>
      <c r="M64" s="3">
        <f t="shared" si="2"/>
        <v>1.9565217391304348</v>
      </c>
      <c r="N64" s="1">
        <v>15.1</v>
      </c>
      <c r="O64" s="13">
        <f t="shared" si="3"/>
        <v>-16.250000000000007</v>
      </c>
      <c r="P64" s="44">
        <f t="shared" si="4"/>
        <v>-0.11304347826086962</v>
      </c>
    </row>
    <row r="65" spans="1:16" x14ac:dyDescent="0.35">
      <c r="A65" s="36">
        <v>65</v>
      </c>
      <c r="B65" s="2">
        <v>45540</v>
      </c>
      <c r="C65" s="1" t="s">
        <v>26</v>
      </c>
      <c r="D65" s="1" t="s">
        <v>43</v>
      </c>
      <c r="E65" s="1" t="s">
        <v>18</v>
      </c>
      <c r="F65" s="1" t="s">
        <v>40</v>
      </c>
      <c r="G65" s="1">
        <v>25</v>
      </c>
      <c r="H65" s="1">
        <v>5.55</v>
      </c>
      <c r="I65" s="1">
        <v>1</v>
      </c>
      <c r="J65" s="1">
        <f t="shared" si="0"/>
        <v>113.75</v>
      </c>
      <c r="K65" s="1">
        <v>15</v>
      </c>
      <c r="L65" s="1">
        <f t="shared" si="1"/>
        <v>236.24999999999997</v>
      </c>
      <c r="M65" s="3">
        <f t="shared" si="2"/>
        <v>2.0769230769230766</v>
      </c>
      <c r="N65" s="1">
        <v>6.75</v>
      </c>
      <c r="O65" s="4">
        <f t="shared" si="3"/>
        <v>30.000000000000004</v>
      </c>
      <c r="P65" s="44">
        <f t="shared" si="4"/>
        <v>0.26373626373626374</v>
      </c>
    </row>
    <row r="66" spans="1:16" x14ac:dyDescent="0.35">
      <c r="A66" s="36">
        <v>66</v>
      </c>
      <c r="B66" s="2">
        <v>45540</v>
      </c>
      <c r="C66" s="1" t="s">
        <v>26</v>
      </c>
      <c r="D66" s="1" t="s">
        <v>43</v>
      </c>
      <c r="E66" s="1" t="s">
        <v>18</v>
      </c>
      <c r="F66" s="1" t="s">
        <v>40</v>
      </c>
      <c r="G66" s="1">
        <v>50</v>
      </c>
      <c r="H66" s="1">
        <v>1.8</v>
      </c>
      <c r="I66" s="1">
        <v>1</v>
      </c>
      <c r="J66" s="1">
        <f t="shared" ref="J66:J96" si="5">(H66-I66)*G66</f>
        <v>40</v>
      </c>
      <c r="K66" s="1">
        <v>10</v>
      </c>
      <c r="L66" s="1">
        <f t="shared" ref="L66:L129" si="6">(K66-H66)*G66</f>
        <v>409.99999999999994</v>
      </c>
      <c r="M66" s="3">
        <f t="shared" ref="M66:M129" si="7">L66/J66</f>
        <v>10.249999999999998</v>
      </c>
      <c r="N66" s="1">
        <v>0.2</v>
      </c>
      <c r="O66" s="13">
        <f t="shared" ref="O66:O129" si="8">(N66-H66)*G66</f>
        <v>-80</v>
      </c>
      <c r="P66" s="44">
        <f t="shared" ref="P66:P129" si="9">O66/J66</f>
        <v>-2</v>
      </c>
    </row>
    <row r="67" spans="1:16" x14ac:dyDescent="0.35">
      <c r="A67" s="36">
        <v>67</v>
      </c>
      <c r="B67" s="2">
        <v>45540</v>
      </c>
      <c r="C67" s="1" t="s">
        <v>26</v>
      </c>
      <c r="D67" s="1" t="s">
        <v>43</v>
      </c>
      <c r="E67" s="1" t="s">
        <v>18</v>
      </c>
      <c r="F67" s="1" t="s">
        <v>40</v>
      </c>
      <c r="G67" s="1">
        <v>25</v>
      </c>
      <c r="H67" s="1">
        <v>3.6</v>
      </c>
      <c r="I67" s="1">
        <v>1</v>
      </c>
      <c r="J67" s="1">
        <f t="shared" si="5"/>
        <v>65</v>
      </c>
      <c r="K67" s="1">
        <v>10</v>
      </c>
      <c r="L67" s="1">
        <f t="shared" si="6"/>
        <v>160</v>
      </c>
      <c r="M67" s="3">
        <f t="shared" si="7"/>
        <v>2.4615384615384617</v>
      </c>
      <c r="N67" s="1">
        <v>0.15</v>
      </c>
      <c r="O67" s="13">
        <f t="shared" si="8"/>
        <v>-86.25</v>
      </c>
      <c r="P67" s="44">
        <f t="shared" si="9"/>
        <v>-1.3269230769230769</v>
      </c>
    </row>
    <row r="68" spans="1:16" x14ac:dyDescent="0.35">
      <c r="A68" s="36">
        <v>68</v>
      </c>
      <c r="B68" s="2">
        <v>45541</v>
      </c>
      <c r="C68" s="1" t="s">
        <v>26</v>
      </c>
      <c r="D68" s="1" t="s">
        <v>17</v>
      </c>
      <c r="E68" s="1" t="s">
        <v>21</v>
      </c>
      <c r="F68" s="1" t="s">
        <v>24</v>
      </c>
      <c r="G68" s="1">
        <v>25</v>
      </c>
      <c r="H68" s="1">
        <v>21.2</v>
      </c>
      <c r="I68" s="1">
        <v>15</v>
      </c>
      <c r="J68" s="1">
        <f t="shared" si="5"/>
        <v>154.99999999999997</v>
      </c>
      <c r="K68" s="1">
        <v>30</v>
      </c>
      <c r="L68" s="1">
        <f t="shared" si="6"/>
        <v>220.00000000000003</v>
      </c>
      <c r="M68" s="3">
        <f t="shared" si="7"/>
        <v>1.4193548387096779</v>
      </c>
      <c r="N68" s="1">
        <v>21.6</v>
      </c>
      <c r="O68" s="4">
        <f t="shared" si="8"/>
        <v>10.000000000000053</v>
      </c>
      <c r="P68" s="44">
        <f t="shared" si="9"/>
        <v>6.4516129032258424E-2</v>
      </c>
    </row>
    <row r="69" spans="1:16" x14ac:dyDescent="0.35">
      <c r="A69" s="37">
        <v>69</v>
      </c>
      <c r="B69" s="6">
        <v>45541</v>
      </c>
      <c r="C69" s="5" t="s">
        <v>26</v>
      </c>
      <c r="D69" s="5" t="s">
        <v>17</v>
      </c>
      <c r="E69" s="5" t="s">
        <v>21</v>
      </c>
      <c r="F69" s="5" t="s">
        <v>24</v>
      </c>
      <c r="G69" s="5">
        <v>25</v>
      </c>
      <c r="H69" s="5">
        <v>30.35</v>
      </c>
      <c r="I69" s="5">
        <v>25</v>
      </c>
      <c r="J69" s="5">
        <f t="shared" si="5"/>
        <v>133.75000000000003</v>
      </c>
      <c r="K69" s="5">
        <v>40</v>
      </c>
      <c r="L69" s="5">
        <f t="shared" si="6"/>
        <v>241.24999999999997</v>
      </c>
      <c r="M69" s="7">
        <f t="shared" si="7"/>
        <v>1.8037383177570088</v>
      </c>
      <c r="N69" s="5">
        <v>36</v>
      </c>
      <c r="O69" s="8">
        <f t="shared" si="8"/>
        <v>141.24999999999997</v>
      </c>
      <c r="P69" s="45">
        <f t="shared" si="9"/>
        <v>1.0560747663551397</v>
      </c>
    </row>
    <row r="70" spans="1:16" x14ac:dyDescent="0.35">
      <c r="A70" s="37">
        <v>70</v>
      </c>
      <c r="B70" s="6">
        <v>45541</v>
      </c>
      <c r="C70" s="5" t="s">
        <v>26</v>
      </c>
      <c r="D70" s="5" t="s">
        <v>17</v>
      </c>
      <c r="E70" s="5" t="s">
        <v>21</v>
      </c>
      <c r="F70" s="5" t="s">
        <v>24</v>
      </c>
      <c r="G70" s="5">
        <v>25</v>
      </c>
      <c r="H70" s="5">
        <v>38.85</v>
      </c>
      <c r="I70" s="5">
        <v>33</v>
      </c>
      <c r="J70" s="5">
        <f t="shared" si="5"/>
        <v>146.25000000000003</v>
      </c>
      <c r="K70" s="5">
        <v>45</v>
      </c>
      <c r="L70" s="5">
        <f t="shared" si="6"/>
        <v>153.74999999999997</v>
      </c>
      <c r="M70" s="7">
        <f t="shared" si="7"/>
        <v>1.0512820512820509</v>
      </c>
      <c r="N70" s="5">
        <v>40.9</v>
      </c>
      <c r="O70" s="8">
        <f t="shared" si="8"/>
        <v>51.249999999999929</v>
      </c>
      <c r="P70" s="45">
        <f t="shared" si="9"/>
        <v>0.35042735042734985</v>
      </c>
    </row>
    <row r="71" spans="1:16" x14ac:dyDescent="0.35">
      <c r="A71" s="36">
        <v>71</v>
      </c>
      <c r="B71" s="2">
        <v>45541</v>
      </c>
      <c r="C71" s="1" t="s">
        <v>20</v>
      </c>
      <c r="D71" s="1" t="s">
        <v>17</v>
      </c>
      <c r="E71" s="1"/>
      <c r="F71" s="1" t="s">
        <v>24</v>
      </c>
      <c r="G71" s="1">
        <v>10</v>
      </c>
      <c r="H71" s="1">
        <v>20.2</v>
      </c>
      <c r="I71" s="1">
        <v>15</v>
      </c>
      <c r="J71" s="1">
        <f t="shared" si="5"/>
        <v>51.999999999999993</v>
      </c>
      <c r="K71" s="1">
        <v>30</v>
      </c>
      <c r="L71" s="1">
        <f t="shared" si="6"/>
        <v>98</v>
      </c>
      <c r="M71" s="3">
        <f t="shared" si="7"/>
        <v>1.8846153846153848</v>
      </c>
      <c r="N71" s="1">
        <v>24</v>
      </c>
      <c r="O71" s="4">
        <f t="shared" si="8"/>
        <v>38.000000000000007</v>
      </c>
      <c r="P71" s="44">
        <f t="shared" si="9"/>
        <v>0.73076923076923106</v>
      </c>
    </row>
    <row r="72" spans="1:16" x14ac:dyDescent="0.35">
      <c r="A72" s="36">
        <v>72</v>
      </c>
      <c r="B72" s="2">
        <v>45541</v>
      </c>
      <c r="C72" s="1" t="s">
        <v>26</v>
      </c>
      <c r="D72" s="1" t="s">
        <v>43</v>
      </c>
      <c r="E72" s="1" t="s">
        <v>23</v>
      </c>
      <c r="F72" s="1" t="s">
        <v>44</v>
      </c>
      <c r="G72" s="1">
        <v>50</v>
      </c>
      <c r="H72" s="1">
        <v>1.85</v>
      </c>
      <c r="I72" s="1">
        <v>1</v>
      </c>
      <c r="J72" s="1">
        <f t="shared" si="5"/>
        <v>42.500000000000007</v>
      </c>
      <c r="K72" s="1">
        <v>5</v>
      </c>
      <c r="L72" s="1">
        <f t="shared" si="6"/>
        <v>157.5</v>
      </c>
      <c r="M72" s="3">
        <f t="shared" si="7"/>
        <v>3.7058823529411757</v>
      </c>
      <c r="N72" s="1"/>
      <c r="O72" s="13"/>
      <c r="P72" s="44"/>
    </row>
    <row r="73" spans="1:16" x14ac:dyDescent="0.35">
      <c r="A73" s="36">
        <v>73</v>
      </c>
      <c r="B73" s="2">
        <v>45541</v>
      </c>
      <c r="C73" s="1" t="s">
        <v>26</v>
      </c>
      <c r="D73" s="1" t="s">
        <v>17</v>
      </c>
      <c r="E73" s="1" t="s">
        <v>18</v>
      </c>
      <c r="F73" s="1" t="s">
        <v>24</v>
      </c>
      <c r="G73" s="1">
        <v>25</v>
      </c>
      <c r="H73" s="1">
        <v>23.8</v>
      </c>
      <c r="I73" s="1">
        <v>17</v>
      </c>
      <c r="J73" s="1">
        <f t="shared" si="5"/>
        <v>170.00000000000003</v>
      </c>
      <c r="K73" s="1">
        <v>30</v>
      </c>
      <c r="L73" s="1">
        <f t="shared" si="6"/>
        <v>154.99999999999997</v>
      </c>
      <c r="M73" s="3">
        <f t="shared" si="7"/>
        <v>0.91176470588235259</v>
      </c>
      <c r="N73" s="1">
        <v>24.05</v>
      </c>
      <c r="O73" s="4">
        <f t="shared" si="8"/>
        <v>6.25</v>
      </c>
      <c r="P73" s="44">
        <f t="shared" si="9"/>
        <v>3.6764705882352935E-2</v>
      </c>
    </row>
    <row r="74" spans="1:16" x14ac:dyDescent="0.35">
      <c r="A74" s="36">
        <v>74</v>
      </c>
      <c r="B74" s="2">
        <v>45541</v>
      </c>
      <c r="C74" s="1" t="s">
        <v>20</v>
      </c>
      <c r="D74" s="1" t="s">
        <v>17</v>
      </c>
      <c r="E74" s="1" t="s">
        <v>18</v>
      </c>
      <c r="F74" s="1" t="s">
        <v>19</v>
      </c>
      <c r="G74" s="1">
        <v>10</v>
      </c>
      <c r="H74" s="1">
        <v>22</v>
      </c>
      <c r="I74" s="1">
        <v>18</v>
      </c>
      <c r="J74" s="1">
        <f t="shared" si="5"/>
        <v>40</v>
      </c>
      <c r="K74" s="1">
        <v>30</v>
      </c>
      <c r="L74" s="1">
        <f t="shared" si="6"/>
        <v>80</v>
      </c>
      <c r="M74" s="3">
        <f t="shared" si="7"/>
        <v>2</v>
      </c>
      <c r="N74" s="1">
        <v>14.5</v>
      </c>
      <c r="O74" s="13">
        <f t="shared" si="8"/>
        <v>-75</v>
      </c>
      <c r="P74" s="44">
        <f t="shared" si="9"/>
        <v>-1.875</v>
      </c>
    </row>
    <row r="75" spans="1:16" x14ac:dyDescent="0.35">
      <c r="A75" s="36">
        <v>75</v>
      </c>
      <c r="B75" s="2">
        <v>45541</v>
      </c>
      <c r="C75" s="1" t="s">
        <v>20</v>
      </c>
      <c r="D75" s="1" t="s">
        <v>17</v>
      </c>
      <c r="E75" s="1" t="s">
        <v>18</v>
      </c>
      <c r="F75" s="1" t="s">
        <v>19</v>
      </c>
      <c r="G75" s="1">
        <v>20</v>
      </c>
      <c r="H75" s="1">
        <v>2</v>
      </c>
      <c r="I75" s="1">
        <v>1</v>
      </c>
      <c r="J75" s="1">
        <f t="shared" si="5"/>
        <v>20</v>
      </c>
      <c r="K75" s="1">
        <v>5</v>
      </c>
      <c r="L75" s="1">
        <f t="shared" si="6"/>
        <v>60</v>
      </c>
      <c r="M75" s="3">
        <f t="shared" si="7"/>
        <v>3</v>
      </c>
      <c r="N75" s="1">
        <v>0.8</v>
      </c>
      <c r="O75" s="13">
        <f t="shared" si="8"/>
        <v>-24</v>
      </c>
      <c r="P75" s="44">
        <f t="shared" si="9"/>
        <v>-1.2</v>
      </c>
    </row>
    <row r="76" spans="1:16" x14ac:dyDescent="0.35">
      <c r="A76" s="36">
        <v>76</v>
      </c>
      <c r="B76" s="2">
        <v>45544</v>
      </c>
      <c r="C76" s="1" t="s">
        <v>26</v>
      </c>
      <c r="D76" s="1" t="s">
        <v>17</v>
      </c>
      <c r="E76" s="1" t="s">
        <v>21</v>
      </c>
      <c r="F76" s="1" t="s">
        <v>24</v>
      </c>
      <c r="G76" s="1">
        <v>25</v>
      </c>
      <c r="H76" s="1">
        <v>15.75</v>
      </c>
      <c r="I76" s="1">
        <v>12</v>
      </c>
      <c r="J76" s="1">
        <f t="shared" si="5"/>
        <v>93.75</v>
      </c>
      <c r="K76" s="1">
        <v>20</v>
      </c>
      <c r="L76" s="1">
        <f t="shared" si="6"/>
        <v>106.25</v>
      </c>
      <c r="M76" s="3">
        <f t="shared" si="7"/>
        <v>1.1333333333333333</v>
      </c>
      <c r="N76" s="1">
        <v>16.649999999999999</v>
      </c>
      <c r="O76" s="4">
        <f t="shared" si="8"/>
        <v>22.499999999999964</v>
      </c>
      <c r="P76" s="44">
        <f t="shared" si="9"/>
        <v>0.23999999999999963</v>
      </c>
    </row>
    <row r="77" spans="1:16" x14ac:dyDescent="0.35">
      <c r="A77" s="36">
        <v>77</v>
      </c>
      <c r="B77" s="2">
        <v>45544</v>
      </c>
      <c r="C77" s="1" t="s">
        <v>32</v>
      </c>
      <c r="D77" s="1" t="s">
        <v>17</v>
      </c>
      <c r="E77" s="1" t="s">
        <v>18</v>
      </c>
      <c r="F77" s="1" t="s">
        <v>19</v>
      </c>
      <c r="G77" s="1">
        <v>100</v>
      </c>
      <c r="H77" s="1">
        <v>3.75</v>
      </c>
      <c r="I77" s="1">
        <v>2</v>
      </c>
      <c r="J77" s="1">
        <f t="shared" si="5"/>
        <v>175</v>
      </c>
      <c r="K77" s="1">
        <v>10</v>
      </c>
      <c r="L77" s="1">
        <f t="shared" si="6"/>
        <v>625</v>
      </c>
      <c r="M77" s="3">
        <f t="shared" si="7"/>
        <v>3.5714285714285716</v>
      </c>
      <c r="N77" s="1">
        <v>3.95</v>
      </c>
      <c r="O77" s="4">
        <f t="shared" si="8"/>
        <v>20.000000000000018</v>
      </c>
      <c r="P77" s="44">
        <f t="shared" si="9"/>
        <v>0.11428571428571439</v>
      </c>
    </row>
    <row r="78" spans="1:16" x14ac:dyDescent="0.35">
      <c r="A78" s="36">
        <v>78</v>
      </c>
      <c r="B78" s="2">
        <v>45544</v>
      </c>
      <c r="C78" s="1" t="s">
        <v>26</v>
      </c>
      <c r="D78" s="1" t="s">
        <v>17</v>
      </c>
      <c r="E78" s="1" t="s">
        <v>21</v>
      </c>
      <c r="F78" s="1" t="s">
        <v>24</v>
      </c>
      <c r="G78" s="1">
        <v>25</v>
      </c>
      <c r="H78" s="1">
        <v>15.6</v>
      </c>
      <c r="I78" s="1">
        <v>12</v>
      </c>
      <c r="J78" s="1">
        <f t="shared" si="5"/>
        <v>89.999999999999986</v>
      </c>
      <c r="K78" s="1">
        <v>23</v>
      </c>
      <c r="L78" s="1">
        <f t="shared" si="6"/>
        <v>185</v>
      </c>
      <c r="M78" s="3">
        <f t="shared" si="7"/>
        <v>2.0555555555555558</v>
      </c>
      <c r="N78" s="1">
        <v>16.8</v>
      </c>
      <c r="O78" s="4">
        <f t="shared" si="8"/>
        <v>30.000000000000028</v>
      </c>
      <c r="P78" s="44">
        <f t="shared" si="9"/>
        <v>0.3333333333333337</v>
      </c>
    </row>
    <row r="79" spans="1:16" x14ac:dyDescent="0.35">
      <c r="A79" s="38">
        <v>79</v>
      </c>
      <c r="B79" s="10">
        <v>45544</v>
      </c>
      <c r="C79" s="9" t="s">
        <v>32</v>
      </c>
      <c r="D79" s="9" t="s">
        <v>43</v>
      </c>
      <c r="E79" s="9" t="s">
        <v>18</v>
      </c>
      <c r="F79" s="9" t="s">
        <v>19</v>
      </c>
      <c r="G79" s="9">
        <v>100</v>
      </c>
      <c r="H79" s="9">
        <v>2.9</v>
      </c>
      <c r="I79" s="9">
        <v>0.05</v>
      </c>
      <c r="J79" s="9">
        <f t="shared" si="5"/>
        <v>285</v>
      </c>
      <c r="K79" s="9">
        <v>10</v>
      </c>
      <c r="L79" s="9">
        <f t="shared" si="6"/>
        <v>710</v>
      </c>
      <c r="M79" s="11">
        <f t="shared" si="7"/>
        <v>2.4912280701754388</v>
      </c>
      <c r="N79" s="9">
        <v>0.05</v>
      </c>
      <c r="O79" s="12">
        <f t="shared" si="8"/>
        <v>-285</v>
      </c>
      <c r="P79" s="46">
        <f t="shared" si="9"/>
        <v>-1</v>
      </c>
    </row>
    <row r="80" spans="1:16" x14ac:dyDescent="0.35">
      <c r="A80" s="38">
        <v>80</v>
      </c>
      <c r="B80" s="10">
        <v>45545</v>
      </c>
      <c r="C80" s="9" t="s">
        <v>47</v>
      </c>
      <c r="D80" s="9" t="s">
        <v>48</v>
      </c>
      <c r="E80" s="9" t="s">
        <v>18</v>
      </c>
      <c r="F80" s="9" t="s">
        <v>49</v>
      </c>
      <c r="G80" s="9">
        <v>200</v>
      </c>
      <c r="H80" s="9">
        <v>5</v>
      </c>
      <c r="I80" s="9">
        <v>1</v>
      </c>
      <c r="J80" s="9">
        <f t="shared" si="5"/>
        <v>800</v>
      </c>
      <c r="K80" s="9">
        <v>10</v>
      </c>
      <c r="L80" s="9">
        <f t="shared" si="6"/>
        <v>1000</v>
      </c>
      <c r="M80" s="11">
        <f t="shared" si="7"/>
        <v>1.25</v>
      </c>
      <c r="N80" s="9">
        <v>1</v>
      </c>
      <c r="O80" s="12">
        <f t="shared" si="8"/>
        <v>-800</v>
      </c>
      <c r="P80" s="46">
        <f t="shared" si="9"/>
        <v>-1</v>
      </c>
    </row>
    <row r="81" spans="1:16" x14ac:dyDescent="0.35">
      <c r="A81" s="36">
        <v>81</v>
      </c>
      <c r="B81" s="2">
        <v>45586</v>
      </c>
      <c r="C81" s="1" t="s">
        <v>32</v>
      </c>
      <c r="D81" s="1" t="s">
        <v>17</v>
      </c>
      <c r="E81" s="1" t="s">
        <v>21</v>
      </c>
      <c r="F81" s="1" t="s">
        <v>19</v>
      </c>
      <c r="G81" s="1">
        <v>50</v>
      </c>
      <c r="H81" s="1">
        <v>3</v>
      </c>
      <c r="I81" s="1">
        <v>1</v>
      </c>
      <c r="J81" s="1">
        <f t="shared" si="5"/>
        <v>100</v>
      </c>
      <c r="K81" s="1">
        <v>12</v>
      </c>
      <c r="L81" s="1">
        <f t="shared" si="6"/>
        <v>450</v>
      </c>
      <c r="M81" s="3">
        <f t="shared" si="7"/>
        <v>4.5</v>
      </c>
      <c r="N81" s="1">
        <v>3.9</v>
      </c>
      <c r="O81" s="4">
        <f t="shared" si="8"/>
        <v>44.999999999999993</v>
      </c>
      <c r="P81" s="44">
        <f t="shared" si="9"/>
        <v>0.44999999999999996</v>
      </c>
    </row>
    <row r="82" spans="1:16" x14ac:dyDescent="0.35">
      <c r="A82" s="36">
        <v>82</v>
      </c>
      <c r="B82" s="2">
        <v>45586</v>
      </c>
      <c r="C82" s="1" t="s">
        <v>32</v>
      </c>
      <c r="D82" s="1" t="s">
        <v>17</v>
      </c>
      <c r="E82" s="1" t="s">
        <v>21</v>
      </c>
      <c r="F82" s="1" t="s">
        <v>19</v>
      </c>
      <c r="G82" s="1">
        <v>50</v>
      </c>
      <c r="H82" s="1">
        <v>6.1</v>
      </c>
      <c r="I82" s="1">
        <v>1</v>
      </c>
      <c r="J82" s="1">
        <f t="shared" si="5"/>
        <v>254.99999999999997</v>
      </c>
      <c r="K82" s="1">
        <v>13</v>
      </c>
      <c r="L82" s="1">
        <f t="shared" si="6"/>
        <v>345</v>
      </c>
      <c r="M82" s="3">
        <f t="shared" si="7"/>
        <v>1.3529411764705883</v>
      </c>
      <c r="N82" s="1">
        <v>10.3</v>
      </c>
      <c r="O82" s="4">
        <f t="shared" si="8"/>
        <v>210.00000000000006</v>
      </c>
      <c r="P82" s="44">
        <f t="shared" si="9"/>
        <v>0.82352941176470618</v>
      </c>
    </row>
    <row r="83" spans="1:16" x14ac:dyDescent="0.35">
      <c r="A83" s="36">
        <v>83</v>
      </c>
      <c r="B83" s="2">
        <v>45586</v>
      </c>
      <c r="C83" s="1" t="s">
        <v>32</v>
      </c>
      <c r="D83" s="1" t="s">
        <v>17</v>
      </c>
      <c r="E83" s="1" t="s">
        <v>21</v>
      </c>
      <c r="F83" s="1" t="s">
        <v>19</v>
      </c>
      <c r="G83" s="1">
        <v>50</v>
      </c>
      <c r="H83" s="1">
        <v>1.55</v>
      </c>
      <c r="I83" s="1">
        <v>1</v>
      </c>
      <c r="J83" s="1">
        <f t="shared" si="5"/>
        <v>27.500000000000004</v>
      </c>
      <c r="K83" s="1">
        <v>5</v>
      </c>
      <c r="L83" s="1">
        <f t="shared" si="6"/>
        <v>172.5</v>
      </c>
      <c r="M83" s="3">
        <f t="shared" si="7"/>
        <v>6.2727272727272716</v>
      </c>
      <c r="N83" s="1">
        <v>0.65</v>
      </c>
      <c r="O83" s="13">
        <f t="shared" si="8"/>
        <v>-45</v>
      </c>
      <c r="P83" s="44">
        <f t="shared" si="9"/>
        <v>-1.6363636363636362</v>
      </c>
    </row>
    <row r="84" spans="1:16" x14ac:dyDescent="0.35">
      <c r="A84" s="36">
        <v>84</v>
      </c>
      <c r="B84" s="2">
        <v>45587</v>
      </c>
      <c r="C84" s="1" t="s">
        <v>22</v>
      </c>
      <c r="D84" s="1" t="s">
        <v>17</v>
      </c>
      <c r="E84" s="1" t="s">
        <v>18</v>
      </c>
      <c r="F84" s="1" t="s">
        <v>24</v>
      </c>
      <c r="G84" s="1">
        <v>25</v>
      </c>
      <c r="H84" s="1">
        <v>22.35</v>
      </c>
      <c r="I84" s="1">
        <v>15</v>
      </c>
      <c r="J84" s="1">
        <f t="shared" si="5"/>
        <v>183.75000000000003</v>
      </c>
      <c r="K84" s="1">
        <v>30</v>
      </c>
      <c r="L84" s="1">
        <f t="shared" si="6"/>
        <v>191.24999999999997</v>
      </c>
      <c r="M84" s="3">
        <f t="shared" si="7"/>
        <v>1.0408163265306118</v>
      </c>
      <c r="N84" s="1">
        <v>19.7</v>
      </c>
      <c r="O84" s="13">
        <f t="shared" si="8"/>
        <v>-66.250000000000057</v>
      </c>
      <c r="P84" s="44">
        <f t="shared" si="9"/>
        <v>-0.36054421768707506</v>
      </c>
    </row>
    <row r="85" spans="1:16" x14ac:dyDescent="0.35">
      <c r="A85" s="37">
        <v>85</v>
      </c>
      <c r="B85" s="6">
        <v>45587</v>
      </c>
      <c r="C85" s="5" t="s">
        <v>22</v>
      </c>
      <c r="D85" s="5" t="s">
        <v>17</v>
      </c>
      <c r="E85" s="5" t="s">
        <v>21</v>
      </c>
      <c r="F85" s="5" t="s">
        <v>24</v>
      </c>
      <c r="G85" s="5">
        <v>25</v>
      </c>
      <c r="H85" s="5">
        <v>75.75</v>
      </c>
      <c r="I85" s="5">
        <v>70</v>
      </c>
      <c r="J85" s="5">
        <f t="shared" si="5"/>
        <v>143.75</v>
      </c>
      <c r="K85" s="5">
        <v>90</v>
      </c>
      <c r="L85" s="5">
        <f t="shared" si="6"/>
        <v>356.25</v>
      </c>
      <c r="M85" s="7">
        <f t="shared" si="7"/>
        <v>2.4782608695652173</v>
      </c>
      <c r="N85" s="5">
        <v>84.5</v>
      </c>
      <c r="O85" s="8">
        <f t="shared" si="8"/>
        <v>218.75</v>
      </c>
      <c r="P85" s="45">
        <f t="shared" si="9"/>
        <v>1.5217391304347827</v>
      </c>
    </row>
    <row r="86" spans="1:16" x14ac:dyDescent="0.35">
      <c r="A86" s="36">
        <v>86</v>
      </c>
      <c r="B86" s="2">
        <v>45587</v>
      </c>
      <c r="C86" s="1" t="s">
        <v>22</v>
      </c>
      <c r="D86" s="1" t="s">
        <v>17</v>
      </c>
      <c r="E86" s="1" t="s">
        <v>18</v>
      </c>
      <c r="F86" s="1" t="s">
        <v>19</v>
      </c>
      <c r="G86" s="1">
        <v>125</v>
      </c>
      <c r="H86" s="1">
        <v>1.65</v>
      </c>
      <c r="I86" s="1">
        <v>1</v>
      </c>
      <c r="J86" s="1">
        <f t="shared" si="5"/>
        <v>81.249999999999986</v>
      </c>
      <c r="K86" s="1">
        <v>5</v>
      </c>
      <c r="L86" s="1">
        <f t="shared" si="6"/>
        <v>418.75</v>
      </c>
      <c r="M86" s="3">
        <f t="shared" si="7"/>
        <v>5.1538461538461551</v>
      </c>
      <c r="N86" s="1">
        <v>1.7</v>
      </c>
      <c r="O86" s="4">
        <f t="shared" si="8"/>
        <v>6.2500000000000053</v>
      </c>
      <c r="P86" s="44">
        <f t="shared" si="9"/>
        <v>7.6923076923076997E-2</v>
      </c>
    </row>
    <row r="87" spans="1:16" x14ac:dyDescent="0.35">
      <c r="A87" s="36">
        <v>87</v>
      </c>
      <c r="B87" s="2">
        <v>45587</v>
      </c>
      <c r="C87" s="1" t="s">
        <v>22</v>
      </c>
      <c r="D87" s="1" t="s">
        <v>17</v>
      </c>
      <c r="E87" s="1" t="s">
        <v>18</v>
      </c>
      <c r="F87" s="1" t="s">
        <v>19</v>
      </c>
      <c r="G87" s="1">
        <v>25</v>
      </c>
      <c r="H87" s="26">
        <v>1.3</v>
      </c>
      <c r="I87" s="1">
        <v>1</v>
      </c>
      <c r="J87" s="1">
        <f t="shared" si="5"/>
        <v>7.5000000000000009</v>
      </c>
      <c r="K87" s="1">
        <v>5</v>
      </c>
      <c r="L87" s="1">
        <f t="shared" si="6"/>
        <v>92.5</v>
      </c>
      <c r="M87" s="3">
        <f t="shared" si="7"/>
        <v>12.333333333333332</v>
      </c>
      <c r="N87" s="1">
        <v>1.4</v>
      </c>
      <c r="O87" s="4">
        <f t="shared" si="8"/>
        <v>2.4999999999999964</v>
      </c>
      <c r="P87" s="44">
        <f t="shared" si="9"/>
        <v>0.33333333333333282</v>
      </c>
    </row>
    <row r="88" spans="1:16" x14ac:dyDescent="0.35">
      <c r="A88" s="37">
        <v>88</v>
      </c>
      <c r="B88" s="6">
        <v>45587</v>
      </c>
      <c r="C88" s="5" t="s">
        <v>26</v>
      </c>
      <c r="D88" s="5" t="s">
        <v>17</v>
      </c>
      <c r="E88" s="5" t="s">
        <v>23</v>
      </c>
      <c r="F88" s="5" t="s">
        <v>24</v>
      </c>
      <c r="G88" s="5">
        <v>25</v>
      </c>
      <c r="H88" s="33">
        <v>73.5</v>
      </c>
      <c r="I88" s="5">
        <v>70</v>
      </c>
      <c r="J88" s="5">
        <f t="shared" si="5"/>
        <v>87.5</v>
      </c>
      <c r="K88" s="5">
        <v>85</v>
      </c>
      <c r="L88" s="5">
        <f t="shared" si="6"/>
        <v>287.5</v>
      </c>
      <c r="M88" s="7">
        <f t="shared" si="7"/>
        <v>3.2857142857142856</v>
      </c>
      <c r="N88" s="5">
        <v>70.849999999999994</v>
      </c>
      <c r="O88" s="17">
        <f t="shared" si="8"/>
        <v>-66.250000000000142</v>
      </c>
      <c r="P88" s="45">
        <f t="shared" si="9"/>
        <v>-0.75714285714285878</v>
      </c>
    </row>
    <row r="89" spans="1:16" x14ac:dyDescent="0.35">
      <c r="A89" s="36">
        <v>89</v>
      </c>
      <c r="B89" s="2">
        <v>45587</v>
      </c>
      <c r="C89" s="1" t="s">
        <v>34</v>
      </c>
      <c r="D89" s="1" t="s">
        <v>17</v>
      </c>
      <c r="E89" s="1" t="s">
        <v>18</v>
      </c>
      <c r="F89" s="1" t="s">
        <v>19</v>
      </c>
      <c r="G89" s="1">
        <v>25</v>
      </c>
      <c r="H89" s="1">
        <v>2.15</v>
      </c>
      <c r="I89" s="1">
        <v>1</v>
      </c>
      <c r="J89" s="1">
        <f t="shared" si="5"/>
        <v>28.749999999999996</v>
      </c>
      <c r="K89" s="1">
        <v>10</v>
      </c>
      <c r="L89" s="1">
        <f t="shared" si="6"/>
        <v>196.25</v>
      </c>
      <c r="M89" s="3">
        <f t="shared" si="7"/>
        <v>6.8260869565217401</v>
      </c>
      <c r="N89" s="1">
        <v>2.4</v>
      </c>
      <c r="O89" s="4">
        <f t="shared" si="8"/>
        <v>6.25</v>
      </c>
      <c r="P89" s="44">
        <f t="shared" si="9"/>
        <v>0.21739130434782611</v>
      </c>
    </row>
    <row r="90" spans="1:16" x14ac:dyDescent="0.35">
      <c r="A90" s="37">
        <v>90</v>
      </c>
      <c r="B90" s="6">
        <v>45587</v>
      </c>
      <c r="C90" s="5" t="s">
        <v>26</v>
      </c>
      <c r="D90" s="5" t="s">
        <v>17</v>
      </c>
      <c r="E90" s="5" t="s">
        <v>23</v>
      </c>
      <c r="F90" s="5" t="s">
        <v>24</v>
      </c>
      <c r="G90" s="5">
        <v>25</v>
      </c>
      <c r="H90" s="5">
        <v>96.35</v>
      </c>
      <c r="I90" s="5">
        <v>90</v>
      </c>
      <c r="J90" s="5">
        <f t="shared" si="5"/>
        <v>158.74999999999986</v>
      </c>
      <c r="K90" s="5">
        <v>113</v>
      </c>
      <c r="L90" s="5">
        <f t="shared" si="6"/>
        <v>416.25000000000011</v>
      </c>
      <c r="M90" s="7">
        <f t="shared" si="7"/>
        <v>2.6220472440944911</v>
      </c>
      <c r="N90" s="5">
        <v>100</v>
      </c>
      <c r="O90" s="8">
        <f t="shared" si="8"/>
        <v>91.250000000000142</v>
      </c>
      <c r="P90" s="45">
        <f t="shared" si="9"/>
        <v>0.57480314960630063</v>
      </c>
    </row>
    <row r="91" spans="1:16" x14ac:dyDescent="0.35">
      <c r="A91" s="37">
        <v>91</v>
      </c>
      <c r="B91" s="6">
        <v>45588</v>
      </c>
      <c r="C91" s="5" t="s">
        <v>26</v>
      </c>
      <c r="D91" s="5" t="s">
        <v>17</v>
      </c>
      <c r="E91" s="5" t="s">
        <v>21</v>
      </c>
      <c r="F91" s="5" t="s">
        <v>24</v>
      </c>
      <c r="G91" s="5">
        <v>25</v>
      </c>
      <c r="H91" s="5">
        <v>110</v>
      </c>
      <c r="I91" s="5">
        <v>100</v>
      </c>
      <c r="J91" s="5">
        <f t="shared" si="5"/>
        <v>250</v>
      </c>
      <c r="K91" s="5">
        <v>120</v>
      </c>
      <c r="L91" s="5">
        <f t="shared" si="6"/>
        <v>250</v>
      </c>
      <c r="M91" s="7">
        <f t="shared" si="7"/>
        <v>1</v>
      </c>
      <c r="N91" s="5">
        <v>111.5</v>
      </c>
      <c r="O91" s="8">
        <f t="shared" si="8"/>
        <v>37.5</v>
      </c>
      <c r="P91" s="45">
        <f t="shared" si="9"/>
        <v>0.15</v>
      </c>
    </row>
    <row r="92" spans="1:16" x14ac:dyDescent="0.35">
      <c r="A92" s="37">
        <v>92</v>
      </c>
      <c r="B92" s="6">
        <v>45588</v>
      </c>
      <c r="C92" s="5" t="s">
        <v>16</v>
      </c>
      <c r="D92" s="5" t="s">
        <v>17</v>
      </c>
      <c r="E92" s="5" t="s">
        <v>21</v>
      </c>
      <c r="F92" s="5" t="s">
        <v>19</v>
      </c>
      <c r="G92" s="5">
        <v>15</v>
      </c>
      <c r="H92" s="5">
        <v>37</v>
      </c>
      <c r="I92" s="5">
        <v>30</v>
      </c>
      <c r="J92" s="5">
        <f t="shared" si="5"/>
        <v>105</v>
      </c>
      <c r="K92" s="5">
        <v>60</v>
      </c>
      <c r="L92" s="5">
        <f t="shared" si="6"/>
        <v>345</v>
      </c>
      <c r="M92" s="7">
        <f t="shared" si="7"/>
        <v>3.2857142857142856</v>
      </c>
      <c r="N92" s="5">
        <v>38.5</v>
      </c>
      <c r="O92" s="8">
        <f t="shared" si="8"/>
        <v>22.5</v>
      </c>
      <c r="P92" s="45">
        <f t="shared" si="9"/>
        <v>0.21428571428571427</v>
      </c>
    </row>
    <row r="93" spans="1:16" x14ac:dyDescent="0.35">
      <c r="A93" s="36">
        <v>93</v>
      </c>
      <c r="B93" s="2">
        <v>45588</v>
      </c>
      <c r="C93" s="1" t="s">
        <v>16</v>
      </c>
      <c r="D93" s="1" t="s">
        <v>17</v>
      </c>
      <c r="E93" s="1" t="s">
        <v>21</v>
      </c>
      <c r="F93" s="1" t="s">
        <v>19</v>
      </c>
      <c r="G93" s="1">
        <v>150</v>
      </c>
      <c r="H93" s="1">
        <v>0.8</v>
      </c>
      <c r="I93" s="1">
        <v>0.5</v>
      </c>
      <c r="J93" s="1">
        <f t="shared" si="5"/>
        <v>45.000000000000007</v>
      </c>
      <c r="K93" s="1">
        <v>5</v>
      </c>
      <c r="L93" s="1">
        <f t="shared" si="6"/>
        <v>630</v>
      </c>
      <c r="M93" s="3">
        <f t="shared" si="7"/>
        <v>13.999999999999998</v>
      </c>
      <c r="N93" s="1">
        <v>1.1499999999999999</v>
      </c>
      <c r="O93" s="4">
        <f t="shared" si="8"/>
        <v>52.499999999999979</v>
      </c>
      <c r="P93" s="44">
        <f t="shared" si="9"/>
        <v>1.1666666666666661</v>
      </c>
    </row>
    <row r="94" spans="1:16" x14ac:dyDescent="0.35">
      <c r="A94" s="37">
        <v>94</v>
      </c>
      <c r="B94" s="6">
        <v>45593</v>
      </c>
      <c r="C94" s="5" t="s">
        <v>26</v>
      </c>
      <c r="D94" s="5" t="s">
        <v>17</v>
      </c>
      <c r="E94" s="5" t="s">
        <v>21</v>
      </c>
      <c r="F94" s="5" t="s">
        <v>24</v>
      </c>
      <c r="G94" s="5">
        <v>25</v>
      </c>
      <c r="H94" s="5">
        <v>80.5</v>
      </c>
      <c r="I94" s="5">
        <v>75</v>
      </c>
      <c r="J94" s="5">
        <f t="shared" si="5"/>
        <v>137.5</v>
      </c>
      <c r="K94" s="5">
        <v>90</v>
      </c>
      <c r="L94" s="5">
        <f t="shared" si="6"/>
        <v>237.5</v>
      </c>
      <c r="M94" s="7">
        <f t="shared" si="7"/>
        <v>1.7272727272727273</v>
      </c>
      <c r="N94" s="5">
        <v>83.55</v>
      </c>
      <c r="O94" s="8">
        <f t="shared" si="8"/>
        <v>76.249999999999929</v>
      </c>
      <c r="P94" s="45">
        <f t="shared" si="9"/>
        <v>0.55454545454545401</v>
      </c>
    </row>
    <row r="95" spans="1:16" x14ac:dyDescent="0.35">
      <c r="A95" s="37">
        <v>95</v>
      </c>
      <c r="B95" s="6">
        <v>45593</v>
      </c>
      <c r="C95" s="5" t="s">
        <v>26</v>
      </c>
      <c r="D95" s="5" t="s">
        <v>17</v>
      </c>
      <c r="E95" s="5" t="s">
        <v>21</v>
      </c>
      <c r="F95" s="5" t="s">
        <v>24</v>
      </c>
      <c r="G95" s="5">
        <v>25</v>
      </c>
      <c r="H95" s="5">
        <v>60.75</v>
      </c>
      <c r="I95" s="5">
        <v>55</v>
      </c>
      <c r="J95" s="5">
        <f t="shared" si="5"/>
        <v>143.75</v>
      </c>
      <c r="K95" s="5">
        <v>70</v>
      </c>
      <c r="L95" s="5">
        <f t="shared" si="6"/>
        <v>231.25</v>
      </c>
      <c r="M95" s="7">
        <f t="shared" si="7"/>
        <v>1.6086956521739131</v>
      </c>
      <c r="N95" s="5">
        <v>63.4</v>
      </c>
      <c r="O95" s="8">
        <f t="shared" si="8"/>
        <v>66.249999999999972</v>
      </c>
      <c r="P95" s="45">
        <f t="shared" si="9"/>
        <v>0.46086956521739109</v>
      </c>
    </row>
    <row r="96" spans="1:16" x14ac:dyDescent="0.35">
      <c r="A96" s="37">
        <v>96</v>
      </c>
      <c r="B96" s="6">
        <v>45593</v>
      </c>
      <c r="C96" s="5" t="s">
        <v>26</v>
      </c>
      <c r="D96" s="5" t="s">
        <v>17</v>
      </c>
      <c r="E96" s="5" t="s">
        <v>21</v>
      </c>
      <c r="F96" s="5" t="s">
        <v>24</v>
      </c>
      <c r="G96" s="5">
        <v>25</v>
      </c>
      <c r="H96" s="5">
        <v>71.099999999999994</v>
      </c>
      <c r="I96" s="5">
        <v>66</v>
      </c>
      <c r="J96" s="5">
        <f t="shared" si="5"/>
        <v>127.49999999999986</v>
      </c>
      <c r="K96" s="5">
        <v>80</v>
      </c>
      <c r="L96" s="5">
        <f t="shared" si="6"/>
        <v>222.50000000000014</v>
      </c>
      <c r="M96" s="7">
        <f t="shared" si="7"/>
        <v>1.7450980392156894</v>
      </c>
      <c r="N96" s="5">
        <v>69.05</v>
      </c>
      <c r="O96" s="17">
        <f t="shared" si="8"/>
        <v>-51.249999999999929</v>
      </c>
      <c r="P96" s="45">
        <f t="shared" si="9"/>
        <v>-0.40196078431372539</v>
      </c>
    </row>
    <row r="97" spans="1:16" x14ac:dyDescent="0.35">
      <c r="A97" s="37">
        <v>97</v>
      </c>
      <c r="B97" s="6">
        <v>45593</v>
      </c>
      <c r="C97" s="5" t="s">
        <v>26</v>
      </c>
      <c r="D97" s="5" t="s">
        <v>17</v>
      </c>
      <c r="E97" s="5" t="s">
        <v>21</v>
      </c>
      <c r="F97" s="5" t="s">
        <v>24</v>
      </c>
      <c r="G97" s="5">
        <v>25</v>
      </c>
      <c r="H97" s="5">
        <v>79.349999999999994</v>
      </c>
      <c r="I97" s="5">
        <v>75</v>
      </c>
      <c r="J97" s="5">
        <v>90</v>
      </c>
      <c r="K97" s="5">
        <v>90</v>
      </c>
      <c r="L97" s="5">
        <f t="shared" si="6"/>
        <v>266.25000000000011</v>
      </c>
      <c r="M97" s="7">
        <f t="shared" si="7"/>
        <v>2.9583333333333348</v>
      </c>
      <c r="N97" s="5">
        <v>88.1</v>
      </c>
      <c r="O97" s="8">
        <f t="shared" si="8"/>
        <v>218.75</v>
      </c>
      <c r="P97" s="45">
        <f t="shared" si="9"/>
        <v>2.4305555555555554</v>
      </c>
    </row>
    <row r="98" spans="1:16" x14ac:dyDescent="0.35">
      <c r="A98" s="37">
        <v>98</v>
      </c>
      <c r="B98" s="6">
        <v>45593</v>
      </c>
      <c r="C98" s="5" t="s">
        <v>29</v>
      </c>
      <c r="D98" s="5" t="s">
        <v>17</v>
      </c>
      <c r="E98" s="5" t="s">
        <v>21</v>
      </c>
      <c r="F98" s="5" t="s">
        <v>19</v>
      </c>
      <c r="G98" s="5">
        <v>15</v>
      </c>
      <c r="H98" s="5">
        <v>70.900000000000006</v>
      </c>
      <c r="I98" s="5">
        <v>50</v>
      </c>
      <c r="J98" s="5">
        <f t="shared" ref="J98:J147" si="10">(H98-I98)*G98</f>
        <v>313.50000000000011</v>
      </c>
      <c r="K98" s="5">
        <v>140</v>
      </c>
      <c r="L98" s="5">
        <f t="shared" si="6"/>
        <v>1036.5</v>
      </c>
      <c r="M98" s="7">
        <f t="shared" si="7"/>
        <v>3.3062200956937788</v>
      </c>
      <c r="N98" s="5">
        <v>80.900000000000006</v>
      </c>
      <c r="O98" s="8">
        <f t="shared" si="8"/>
        <v>150</v>
      </c>
      <c r="P98" s="45">
        <f t="shared" si="9"/>
        <v>0.47846889952153093</v>
      </c>
    </row>
    <row r="99" spans="1:16" x14ac:dyDescent="0.35">
      <c r="A99" s="37">
        <v>99</v>
      </c>
      <c r="B99" s="6">
        <v>45594</v>
      </c>
      <c r="C99" s="5" t="s">
        <v>26</v>
      </c>
      <c r="D99" s="5" t="s">
        <v>17</v>
      </c>
      <c r="E99" s="5" t="s">
        <v>21</v>
      </c>
      <c r="F99" s="5" t="s">
        <v>24</v>
      </c>
      <c r="G99" s="5">
        <v>25</v>
      </c>
      <c r="H99" s="5">
        <v>79.3</v>
      </c>
      <c r="I99" s="5">
        <v>70</v>
      </c>
      <c r="J99" s="5">
        <f t="shared" si="10"/>
        <v>232.49999999999994</v>
      </c>
      <c r="K99" s="5">
        <v>90</v>
      </c>
      <c r="L99" s="5">
        <f t="shared" si="6"/>
        <v>267.50000000000006</v>
      </c>
      <c r="M99" s="7">
        <f t="shared" si="7"/>
        <v>1.1505376344086027</v>
      </c>
      <c r="N99" s="5">
        <v>82.95</v>
      </c>
      <c r="O99" s="8">
        <f t="shared" si="8"/>
        <v>91.250000000000142</v>
      </c>
      <c r="P99" s="45">
        <f t="shared" si="9"/>
        <v>0.3924731182795706</v>
      </c>
    </row>
    <row r="100" spans="1:16" x14ac:dyDescent="0.35">
      <c r="A100" s="38">
        <v>100</v>
      </c>
      <c r="B100" s="10">
        <v>45594</v>
      </c>
      <c r="C100" s="9" t="s">
        <v>26</v>
      </c>
      <c r="D100" s="9" t="s">
        <v>50</v>
      </c>
      <c r="E100" s="9" t="s">
        <v>21</v>
      </c>
      <c r="F100" s="9" t="s">
        <v>24</v>
      </c>
      <c r="G100" s="9">
        <v>25</v>
      </c>
      <c r="H100" s="9">
        <v>93.1</v>
      </c>
      <c r="I100" s="9">
        <v>90</v>
      </c>
      <c r="J100" s="9">
        <f t="shared" si="10"/>
        <v>77.499999999999858</v>
      </c>
      <c r="K100" s="9">
        <v>110</v>
      </c>
      <c r="L100" s="9">
        <f t="shared" si="6"/>
        <v>422.50000000000011</v>
      </c>
      <c r="M100" s="11">
        <f t="shared" si="7"/>
        <v>5.4516129032258176</v>
      </c>
      <c r="N100" s="9">
        <v>15.65</v>
      </c>
      <c r="O100" s="12">
        <f t="shared" si="8"/>
        <v>-1936.2499999999998</v>
      </c>
      <c r="P100" s="46">
        <f t="shared" si="9"/>
        <v>-24.983870967741979</v>
      </c>
    </row>
    <row r="101" spans="1:16" x14ac:dyDescent="0.35">
      <c r="A101" s="36">
        <v>101</v>
      </c>
      <c r="B101" s="2">
        <v>45594</v>
      </c>
      <c r="C101" s="1" t="s">
        <v>34</v>
      </c>
      <c r="D101" s="1" t="s">
        <v>17</v>
      </c>
      <c r="E101" s="1" t="s">
        <v>18</v>
      </c>
      <c r="F101" s="1" t="s">
        <v>19</v>
      </c>
      <c r="G101" s="1">
        <v>50</v>
      </c>
      <c r="H101" s="1">
        <v>0.85</v>
      </c>
      <c r="I101" s="1">
        <v>0.5</v>
      </c>
      <c r="J101" s="1">
        <f t="shared" si="10"/>
        <v>17.5</v>
      </c>
      <c r="K101" s="1">
        <v>5</v>
      </c>
      <c r="L101" s="1">
        <f t="shared" si="6"/>
        <v>207.50000000000003</v>
      </c>
      <c r="M101" s="3">
        <f t="shared" si="7"/>
        <v>11.857142857142859</v>
      </c>
      <c r="N101" s="1">
        <v>0.5</v>
      </c>
      <c r="O101" s="13">
        <f t="shared" si="8"/>
        <v>-17.5</v>
      </c>
      <c r="P101" s="44">
        <f t="shared" si="9"/>
        <v>-1</v>
      </c>
    </row>
    <row r="102" spans="1:16" x14ac:dyDescent="0.35">
      <c r="A102" s="36">
        <v>102</v>
      </c>
      <c r="B102" s="2">
        <v>45594</v>
      </c>
      <c r="C102" s="1" t="s">
        <v>34</v>
      </c>
      <c r="D102" s="1" t="s">
        <v>17</v>
      </c>
      <c r="E102" s="1" t="s">
        <v>18</v>
      </c>
      <c r="F102" s="1" t="s">
        <v>19</v>
      </c>
      <c r="G102" s="1">
        <v>25</v>
      </c>
      <c r="H102" s="1">
        <v>1.1499999999999999</v>
      </c>
      <c r="I102" s="1">
        <v>1</v>
      </c>
      <c r="J102" s="1">
        <f t="shared" si="10"/>
        <v>3.7499999999999978</v>
      </c>
      <c r="K102" s="1">
        <v>5</v>
      </c>
      <c r="L102" s="1">
        <f t="shared" si="6"/>
        <v>96.25</v>
      </c>
      <c r="M102" s="3">
        <f t="shared" si="7"/>
        <v>25.666666666666682</v>
      </c>
      <c r="N102" s="1">
        <v>0.65</v>
      </c>
      <c r="O102" s="13">
        <f t="shared" si="8"/>
        <v>-12.499999999999996</v>
      </c>
      <c r="P102" s="44">
        <f t="shared" si="9"/>
        <v>-3.3333333333333344</v>
      </c>
    </row>
    <row r="103" spans="1:16" x14ac:dyDescent="0.35">
      <c r="A103" s="37">
        <v>103</v>
      </c>
      <c r="B103" s="6">
        <v>45658</v>
      </c>
      <c r="C103" s="5" t="s">
        <v>26</v>
      </c>
      <c r="D103" s="5" t="s">
        <v>17</v>
      </c>
      <c r="E103" s="5" t="s">
        <v>23</v>
      </c>
      <c r="F103" s="5" t="s">
        <v>24</v>
      </c>
      <c r="G103" s="5">
        <v>75</v>
      </c>
      <c r="H103" s="5">
        <v>36.299999999999997</v>
      </c>
      <c r="I103" s="5">
        <v>34</v>
      </c>
      <c r="J103" s="5">
        <f t="shared" si="10"/>
        <v>172.49999999999977</v>
      </c>
      <c r="K103" s="5">
        <v>40</v>
      </c>
      <c r="L103" s="5">
        <f t="shared" si="6"/>
        <v>277.50000000000023</v>
      </c>
      <c r="M103" s="7">
        <f t="shared" si="7"/>
        <v>1.6086956521739164</v>
      </c>
      <c r="N103" s="5">
        <v>40.049999999999997</v>
      </c>
      <c r="O103" s="8">
        <f t="shared" si="8"/>
        <v>281.25</v>
      </c>
      <c r="P103" s="45">
        <f t="shared" si="9"/>
        <v>1.6304347826086978</v>
      </c>
    </row>
    <row r="104" spans="1:16" x14ac:dyDescent="0.35">
      <c r="A104" s="37">
        <v>104</v>
      </c>
      <c r="B104" s="6">
        <v>45658</v>
      </c>
      <c r="C104" s="5" t="s">
        <v>26</v>
      </c>
      <c r="D104" s="5" t="s">
        <v>17</v>
      </c>
      <c r="E104" s="5" t="s">
        <v>23</v>
      </c>
      <c r="F104" s="5" t="s">
        <v>24</v>
      </c>
      <c r="G104" s="5">
        <v>75</v>
      </c>
      <c r="H104" s="5">
        <v>33.1</v>
      </c>
      <c r="I104" s="5">
        <v>30</v>
      </c>
      <c r="J104" s="5">
        <f t="shared" si="10"/>
        <v>232.50000000000011</v>
      </c>
      <c r="K104" s="5">
        <v>36</v>
      </c>
      <c r="L104" s="5">
        <f t="shared" si="6"/>
        <v>217.49999999999989</v>
      </c>
      <c r="M104" s="7">
        <f t="shared" si="7"/>
        <v>0.93548387096774099</v>
      </c>
      <c r="N104" s="5">
        <v>33.299999999999997</v>
      </c>
      <c r="O104" s="8">
        <f t="shared" si="8"/>
        <v>14.99999999999968</v>
      </c>
      <c r="P104" s="45">
        <f t="shared" si="9"/>
        <v>6.4516129032256661E-2</v>
      </c>
    </row>
    <row r="105" spans="1:16" x14ac:dyDescent="0.35">
      <c r="A105" s="37">
        <v>105</v>
      </c>
      <c r="B105" s="6">
        <v>45658</v>
      </c>
      <c r="C105" s="5" t="s">
        <v>26</v>
      </c>
      <c r="D105" s="5" t="s">
        <v>17</v>
      </c>
      <c r="E105" s="5" t="s">
        <v>23</v>
      </c>
      <c r="F105" s="5" t="s">
        <v>24</v>
      </c>
      <c r="G105" s="5">
        <v>75</v>
      </c>
      <c r="H105" s="5">
        <v>35.1</v>
      </c>
      <c r="I105" s="5">
        <v>33</v>
      </c>
      <c r="J105" s="5">
        <f t="shared" si="10"/>
        <v>157.50000000000011</v>
      </c>
      <c r="K105" s="5">
        <v>40</v>
      </c>
      <c r="L105" s="5">
        <f t="shared" si="6"/>
        <v>367.49999999999989</v>
      </c>
      <c r="M105" s="7">
        <f t="shared" si="7"/>
        <v>2.3333333333333308</v>
      </c>
      <c r="N105" s="5">
        <v>38.700000000000003</v>
      </c>
      <c r="O105" s="8">
        <f t="shared" si="8"/>
        <v>270.00000000000011</v>
      </c>
      <c r="P105" s="45">
        <f t="shared" si="9"/>
        <v>1.7142857142857137</v>
      </c>
    </row>
    <row r="106" spans="1:16" x14ac:dyDescent="0.35">
      <c r="A106" s="37">
        <v>106</v>
      </c>
      <c r="B106" s="6">
        <v>45658</v>
      </c>
      <c r="C106" s="5" t="s">
        <v>26</v>
      </c>
      <c r="D106" s="5" t="s">
        <v>17</v>
      </c>
      <c r="E106" s="5" t="s">
        <v>21</v>
      </c>
      <c r="F106" s="5" t="s">
        <v>24</v>
      </c>
      <c r="G106" s="5">
        <v>75</v>
      </c>
      <c r="H106" s="5">
        <v>40.799999999999997</v>
      </c>
      <c r="I106" s="5">
        <v>37</v>
      </c>
      <c r="J106" s="5">
        <f t="shared" si="10"/>
        <v>284.99999999999977</v>
      </c>
      <c r="K106" s="5">
        <v>45</v>
      </c>
      <c r="L106" s="5">
        <f t="shared" si="6"/>
        <v>315.00000000000023</v>
      </c>
      <c r="M106" s="7">
        <f t="shared" si="7"/>
        <v>1.1052631578947385</v>
      </c>
      <c r="N106" s="5">
        <v>38.25</v>
      </c>
      <c r="O106" s="17">
        <f t="shared" si="8"/>
        <v>-191.24999999999977</v>
      </c>
      <c r="P106" s="45">
        <f t="shared" si="9"/>
        <v>-0.67105263157894712</v>
      </c>
    </row>
    <row r="107" spans="1:16" x14ac:dyDescent="0.35">
      <c r="A107" s="37">
        <v>107</v>
      </c>
      <c r="B107" s="6">
        <v>45658</v>
      </c>
      <c r="C107" s="5" t="s">
        <v>26</v>
      </c>
      <c r="D107" s="5" t="s">
        <v>17</v>
      </c>
      <c r="E107" s="5" t="s">
        <v>23</v>
      </c>
      <c r="F107" s="5" t="s">
        <v>24</v>
      </c>
      <c r="G107" s="5">
        <v>75</v>
      </c>
      <c r="H107" s="5">
        <v>33.299999999999997</v>
      </c>
      <c r="I107" s="5">
        <v>31</v>
      </c>
      <c r="J107" s="5">
        <f t="shared" si="10"/>
        <v>172.49999999999977</v>
      </c>
      <c r="K107" s="5">
        <v>39</v>
      </c>
      <c r="L107" s="5">
        <f t="shared" si="6"/>
        <v>427.50000000000023</v>
      </c>
      <c r="M107" s="7">
        <f t="shared" si="7"/>
        <v>2.4782608695652222</v>
      </c>
      <c r="N107" s="5">
        <v>38.75</v>
      </c>
      <c r="O107" s="8">
        <f t="shared" si="8"/>
        <v>408.75000000000023</v>
      </c>
      <c r="P107" s="45">
        <f t="shared" si="9"/>
        <v>2.3695652173913087</v>
      </c>
    </row>
    <row r="108" spans="1:16" x14ac:dyDescent="0.35">
      <c r="A108" s="38">
        <v>108</v>
      </c>
      <c r="B108" s="10">
        <v>45658</v>
      </c>
      <c r="C108" s="9" t="s">
        <v>26</v>
      </c>
      <c r="D108" s="9" t="s">
        <v>17</v>
      </c>
      <c r="E108" s="9" t="s">
        <v>21</v>
      </c>
      <c r="F108" s="9" t="s">
        <v>24</v>
      </c>
      <c r="G108" s="9">
        <v>75</v>
      </c>
      <c r="H108" s="9">
        <v>28.4</v>
      </c>
      <c r="I108" s="9">
        <v>35</v>
      </c>
      <c r="J108" s="9">
        <f t="shared" si="10"/>
        <v>-495.00000000000011</v>
      </c>
      <c r="K108" s="9">
        <v>44</v>
      </c>
      <c r="L108" s="9">
        <f t="shared" si="6"/>
        <v>1170</v>
      </c>
      <c r="M108" s="11">
        <f t="shared" si="7"/>
        <v>-2.3636363636363633</v>
      </c>
      <c r="N108" s="9">
        <v>20.9</v>
      </c>
      <c r="O108" s="12">
        <f t="shared" si="8"/>
        <v>-562.5</v>
      </c>
      <c r="P108" s="46">
        <f t="shared" si="9"/>
        <v>1.136363636363636</v>
      </c>
    </row>
    <row r="109" spans="1:16" x14ac:dyDescent="0.35">
      <c r="A109" s="38">
        <v>109</v>
      </c>
      <c r="B109" s="10">
        <v>45658</v>
      </c>
      <c r="C109" s="9" t="s">
        <v>26</v>
      </c>
      <c r="D109" s="9" t="s">
        <v>17</v>
      </c>
      <c r="E109" s="9" t="s">
        <v>18</v>
      </c>
      <c r="F109" s="9" t="s">
        <v>24</v>
      </c>
      <c r="G109" s="9">
        <v>75</v>
      </c>
      <c r="H109" s="9">
        <v>23.95</v>
      </c>
      <c r="I109" s="9">
        <v>22</v>
      </c>
      <c r="J109" s="9">
        <f t="shared" si="10"/>
        <v>146.24999999999994</v>
      </c>
      <c r="K109" s="9">
        <v>30</v>
      </c>
      <c r="L109" s="9">
        <f t="shared" si="6"/>
        <v>453.75000000000006</v>
      </c>
      <c r="M109" s="11">
        <f t="shared" si="7"/>
        <v>3.102564102564104</v>
      </c>
      <c r="N109" s="9">
        <v>21.2</v>
      </c>
      <c r="O109" s="12">
        <f t="shared" si="8"/>
        <v>-206.25</v>
      </c>
      <c r="P109" s="46">
        <f t="shared" si="9"/>
        <v>-1.4102564102564108</v>
      </c>
    </row>
    <row r="110" spans="1:16" x14ac:dyDescent="0.35">
      <c r="A110" s="36">
        <v>110</v>
      </c>
      <c r="B110" s="2">
        <v>45690</v>
      </c>
      <c r="C110" s="1" t="s">
        <v>26</v>
      </c>
      <c r="D110" s="1" t="s">
        <v>17</v>
      </c>
      <c r="E110" s="1" t="s">
        <v>23</v>
      </c>
      <c r="F110" s="1" t="s">
        <v>19</v>
      </c>
      <c r="G110" s="1">
        <v>75</v>
      </c>
      <c r="H110" s="1">
        <v>1.9</v>
      </c>
      <c r="I110" s="1">
        <v>1</v>
      </c>
      <c r="J110" s="1">
        <f t="shared" si="10"/>
        <v>67.5</v>
      </c>
      <c r="K110" s="1">
        <v>4</v>
      </c>
      <c r="L110" s="1">
        <f t="shared" si="6"/>
        <v>157.5</v>
      </c>
      <c r="M110" s="3">
        <f t="shared" si="7"/>
        <v>2.3333333333333335</v>
      </c>
      <c r="N110" s="1">
        <v>1.9</v>
      </c>
      <c r="O110" s="4">
        <f t="shared" si="8"/>
        <v>0</v>
      </c>
      <c r="P110" s="44">
        <f t="shared" si="9"/>
        <v>0</v>
      </c>
    </row>
    <row r="111" spans="1:16" x14ac:dyDescent="0.35">
      <c r="A111" s="36">
        <v>111</v>
      </c>
      <c r="B111" s="2">
        <v>45690</v>
      </c>
      <c r="C111" s="1" t="s">
        <v>26</v>
      </c>
      <c r="D111" s="1" t="s">
        <v>17</v>
      </c>
      <c r="E111" s="1" t="s">
        <v>23</v>
      </c>
      <c r="F111" s="1" t="s">
        <v>24</v>
      </c>
      <c r="G111" s="1">
        <v>75</v>
      </c>
      <c r="H111" s="1">
        <v>24.7</v>
      </c>
      <c r="I111" s="1">
        <v>22</v>
      </c>
      <c r="J111" s="1">
        <f t="shared" si="10"/>
        <v>202.49999999999994</v>
      </c>
      <c r="K111" s="1">
        <v>28</v>
      </c>
      <c r="L111" s="1">
        <f t="shared" si="6"/>
        <v>247.50000000000006</v>
      </c>
      <c r="M111" s="3">
        <f t="shared" si="7"/>
        <v>1.2222222222222228</v>
      </c>
      <c r="N111" s="1">
        <v>25.9</v>
      </c>
      <c r="O111" s="4">
        <f t="shared" si="8"/>
        <v>89.999999999999943</v>
      </c>
      <c r="P111" s="44">
        <f t="shared" si="9"/>
        <v>0.44444444444444431</v>
      </c>
    </row>
    <row r="112" spans="1:16" ht="58" x14ac:dyDescent="0.35">
      <c r="A112" s="38">
        <v>112</v>
      </c>
      <c r="B112" s="10">
        <v>45690</v>
      </c>
      <c r="C112" s="9" t="s">
        <v>26</v>
      </c>
      <c r="D112" s="9" t="s">
        <v>43</v>
      </c>
      <c r="E112" s="9" t="s">
        <v>45</v>
      </c>
      <c r="F112" s="34" t="s">
        <v>51</v>
      </c>
      <c r="G112" s="9">
        <v>75</v>
      </c>
      <c r="H112" s="9">
        <v>34.85</v>
      </c>
      <c r="I112" s="9">
        <v>20</v>
      </c>
      <c r="J112" s="9">
        <f t="shared" si="10"/>
        <v>1113.75</v>
      </c>
      <c r="K112" s="9">
        <v>51</v>
      </c>
      <c r="L112" s="9">
        <f t="shared" si="6"/>
        <v>1211.25</v>
      </c>
      <c r="M112" s="11">
        <f t="shared" si="7"/>
        <v>1.0875420875420876</v>
      </c>
      <c r="N112" s="9">
        <v>20.6</v>
      </c>
      <c r="O112" s="12">
        <f t="shared" si="8"/>
        <v>-1068.75</v>
      </c>
      <c r="P112" s="46">
        <f t="shared" si="9"/>
        <v>-0.95959595959595956</v>
      </c>
    </row>
    <row r="113" spans="1:16" x14ac:dyDescent="0.35">
      <c r="A113" s="36">
        <v>113</v>
      </c>
      <c r="B113" s="2">
        <v>45690</v>
      </c>
      <c r="C113" s="1" t="s">
        <v>26</v>
      </c>
      <c r="D113" s="1" t="s">
        <v>17</v>
      </c>
      <c r="E113" s="1" t="s">
        <v>21</v>
      </c>
      <c r="F113" s="1" t="s">
        <v>19</v>
      </c>
      <c r="G113" s="1">
        <v>75</v>
      </c>
      <c r="H113" s="1">
        <v>15</v>
      </c>
      <c r="I113" s="1">
        <v>12</v>
      </c>
      <c r="J113" s="1">
        <f t="shared" si="10"/>
        <v>225</v>
      </c>
      <c r="K113" s="1">
        <v>20</v>
      </c>
      <c r="L113" s="1">
        <f t="shared" si="6"/>
        <v>375</v>
      </c>
      <c r="M113" s="3">
        <f t="shared" si="7"/>
        <v>1.6666666666666667</v>
      </c>
      <c r="N113" s="1">
        <v>15</v>
      </c>
      <c r="O113" s="4">
        <f t="shared" si="8"/>
        <v>0</v>
      </c>
      <c r="P113" s="44">
        <f t="shared" si="9"/>
        <v>0</v>
      </c>
    </row>
    <row r="114" spans="1:16" x14ac:dyDescent="0.35">
      <c r="A114" s="36">
        <v>114</v>
      </c>
      <c r="B114" s="2">
        <v>45690</v>
      </c>
      <c r="C114" s="1" t="s">
        <v>26</v>
      </c>
      <c r="D114" s="1" t="s">
        <v>17</v>
      </c>
      <c r="E114" s="1" t="s">
        <v>45</v>
      </c>
      <c r="F114" s="1" t="s">
        <v>19</v>
      </c>
      <c r="G114" s="1">
        <v>75</v>
      </c>
      <c r="H114" s="1">
        <v>17.899999999999999</v>
      </c>
      <c r="I114" s="1">
        <v>16</v>
      </c>
      <c r="J114" s="1">
        <f t="shared" si="10"/>
        <v>142.49999999999989</v>
      </c>
      <c r="K114" s="1">
        <v>22</v>
      </c>
      <c r="L114" s="1">
        <f t="shared" si="6"/>
        <v>307.50000000000011</v>
      </c>
      <c r="M114" s="3">
        <f t="shared" si="7"/>
        <v>2.157894736842108</v>
      </c>
      <c r="N114" s="1">
        <v>19.2</v>
      </c>
      <c r="O114" s="4">
        <f t="shared" si="8"/>
        <v>97.500000000000057</v>
      </c>
      <c r="P114" s="44">
        <f t="shared" si="9"/>
        <v>0.68421052631579038</v>
      </c>
    </row>
    <row r="115" spans="1:16" x14ac:dyDescent="0.35">
      <c r="A115" s="36">
        <v>115</v>
      </c>
      <c r="B115" s="2">
        <v>45690</v>
      </c>
      <c r="C115" s="1" t="s">
        <v>26</v>
      </c>
      <c r="D115" s="1" t="s">
        <v>17</v>
      </c>
      <c r="E115" s="1" t="s">
        <v>21</v>
      </c>
      <c r="F115" s="1" t="s">
        <v>19</v>
      </c>
      <c r="G115" s="1">
        <v>75</v>
      </c>
      <c r="H115" s="1">
        <v>9</v>
      </c>
      <c r="I115" s="1">
        <v>8</v>
      </c>
      <c r="J115" s="1">
        <f t="shared" si="10"/>
        <v>75</v>
      </c>
      <c r="K115" s="1">
        <v>21</v>
      </c>
      <c r="L115" s="1">
        <f t="shared" si="6"/>
        <v>900</v>
      </c>
      <c r="M115" s="3">
        <f t="shared" si="7"/>
        <v>12</v>
      </c>
      <c r="N115" s="1">
        <v>9.6999999999999993</v>
      </c>
      <c r="O115" s="4">
        <f t="shared" si="8"/>
        <v>52.499999999999943</v>
      </c>
      <c r="P115" s="44">
        <f t="shared" si="9"/>
        <v>0.69999999999999929</v>
      </c>
    </row>
    <row r="116" spans="1:16" x14ac:dyDescent="0.35">
      <c r="A116" s="36">
        <v>116</v>
      </c>
      <c r="B116" s="2">
        <v>45713</v>
      </c>
      <c r="C116" s="1" t="s">
        <v>29</v>
      </c>
      <c r="D116" s="1" t="s">
        <v>17</v>
      </c>
      <c r="E116" s="1" t="s">
        <v>21</v>
      </c>
      <c r="F116" s="1" t="s">
        <v>19</v>
      </c>
      <c r="G116" s="1">
        <v>30</v>
      </c>
      <c r="H116" s="1">
        <v>60</v>
      </c>
      <c r="I116" s="1">
        <v>30</v>
      </c>
      <c r="J116" s="1">
        <f t="shared" si="10"/>
        <v>900</v>
      </c>
      <c r="K116" s="1">
        <v>90</v>
      </c>
      <c r="L116" s="1">
        <f t="shared" si="6"/>
        <v>900</v>
      </c>
      <c r="M116" s="3">
        <f t="shared" si="7"/>
        <v>1</v>
      </c>
      <c r="N116" s="1">
        <v>38</v>
      </c>
      <c r="O116" s="13">
        <f t="shared" si="8"/>
        <v>-660</v>
      </c>
      <c r="P116" s="44">
        <f t="shared" si="9"/>
        <v>-0.73333333333333328</v>
      </c>
    </row>
    <row r="117" spans="1:16" x14ac:dyDescent="0.35">
      <c r="A117" s="43">
        <v>117</v>
      </c>
      <c r="B117" s="35">
        <v>45784</v>
      </c>
      <c r="C117" s="1" t="s">
        <v>35</v>
      </c>
      <c r="D117" s="1" t="s">
        <v>17</v>
      </c>
      <c r="E117" s="1" t="s">
        <v>23</v>
      </c>
      <c r="F117" s="1" t="s">
        <v>52</v>
      </c>
      <c r="G117" s="1">
        <v>75</v>
      </c>
      <c r="H117" s="1">
        <v>39.700000000000003</v>
      </c>
      <c r="I117" s="1">
        <v>35</v>
      </c>
      <c r="J117" s="1">
        <f t="shared" si="10"/>
        <v>352.50000000000023</v>
      </c>
      <c r="K117" s="1">
        <v>45</v>
      </c>
      <c r="L117" s="1">
        <f t="shared" si="6"/>
        <v>397.49999999999977</v>
      </c>
      <c r="M117" s="3">
        <f t="shared" si="7"/>
        <v>1.1276595744680837</v>
      </c>
      <c r="N117" s="1">
        <v>48.55</v>
      </c>
      <c r="O117" s="4">
        <f t="shared" si="8"/>
        <v>663.74999999999955</v>
      </c>
      <c r="P117" s="44">
        <f t="shared" si="9"/>
        <v>1.8829787234042528</v>
      </c>
    </row>
    <row r="118" spans="1:16" x14ac:dyDescent="0.35">
      <c r="A118" s="43">
        <v>118</v>
      </c>
      <c r="B118" s="35">
        <v>45784</v>
      </c>
      <c r="C118" s="1" t="s">
        <v>35</v>
      </c>
      <c r="D118" s="1" t="s">
        <v>17</v>
      </c>
      <c r="E118" s="1" t="s">
        <v>23</v>
      </c>
      <c r="F118" s="1" t="s">
        <v>52</v>
      </c>
      <c r="G118" s="1">
        <v>75</v>
      </c>
      <c r="H118" s="1">
        <v>41</v>
      </c>
      <c r="I118" s="1">
        <v>38</v>
      </c>
      <c r="J118" s="1">
        <f t="shared" si="10"/>
        <v>225</v>
      </c>
      <c r="K118" s="1">
        <v>45</v>
      </c>
      <c r="L118" s="1">
        <f t="shared" si="6"/>
        <v>300</v>
      </c>
      <c r="M118" s="3">
        <f t="shared" si="7"/>
        <v>1.3333333333333333</v>
      </c>
      <c r="N118" s="1">
        <v>43.65</v>
      </c>
      <c r="O118" s="4">
        <f t="shared" si="8"/>
        <v>198.74999999999989</v>
      </c>
      <c r="P118" s="44">
        <f t="shared" si="9"/>
        <v>0.88333333333333286</v>
      </c>
    </row>
    <row r="119" spans="1:16" x14ac:dyDescent="0.35">
      <c r="A119" s="43">
        <v>119</v>
      </c>
      <c r="B119" s="35">
        <v>45784</v>
      </c>
      <c r="C119" s="1" t="s">
        <v>35</v>
      </c>
      <c r="D119" s="1" t="s">
        <v>17</v>
      </c>
      <c r="E119" s="1" t="s">
        <v>23</v>
      </c>
      <c r="F119" s="1" t="s">
        <v>52</v>
      </c>
      <c r="G119" s="1">
        <v>75</v>
      </c>
      <c r="H119" s="1">
        <v>20.2</v>
      </c>
      <c r="I119" s="1">
        <v>16</v>
      </c>
      <c r="J119" s="1">
        <f t="shared" si="10"/>
        <v>314.99999999999994</v>
      </c>
      <c r="K119" s="1">
        <v>30</v>
      </c>
      <c r="L119" s="1">
        <f t="shared" si="6"/>
        <v>735</v>
      </c>
      <c r="M119" s="3">
        <f t="shared" si="7"/>
        <v>2.3333333333333339</v>
      </c>
      <c r="N119" s="1">
        <v>24.3</v>
      </c>
      <c r="O119" s="4">
        <f t="shared" si="8"/>
        <v>307.50000000000011</v>
      </c>
      <c r="P119" s="44">
        <f t="shared" si="9"/>
        <v>0.97619047619047672</v>
      </c>
    </row>
    <row r="120" spans="1:16" x14ac:dyDescent="0.35">
      <c r="A120" s="43">
        <v>120</v>
      </c>
      <c r="B120" s="35">
        <v>45784</v>
      </c>
      <c r="C120" s="1" t="s">
        <v>35</v>
      </c>
      <c r="D120" s="1" t="s">
        <v>17</v>
      </c>
      <c r="E120" s="1" t="s">
        <v>23</v>
      </c>
      <c r="F120" s="1" t="s">
        <v>52</v>
      </c>
      <c r="G120" s="1">
        <v>75</v>
      </c>
      <c r="H120" s="1">
        <v>34</v>
      </c>
      <c r="I120" s="1">
        <v>30</v>
      </c>
      <c r="J120" s="1">
        <f t="shared" si="10"/>
        <v>300</v>
      </c>
      <c r="K120" s="1">
        <v>40</v>
      </c>
      <c r="L120" s="1">
        <f t="shared" si="6"/>
        <v>450</v>
      </c>
      <c r="M120" s="3">
        <f t="shared" si="7"/>
        <v>1.5</v>
      </c>
      <c r="N120" s="1">
        <v>35.299999999999997</v>
      </c>
      <c r="O120" s="4">
        <f t="shared" si="8"/>
        <v>97.499999999999787</v>
      </c>
      <c r="P120" s="44">
        <f t="shared" si="9"/>
        <v>0.32499999999999929</v>
      </c>
    </row>
    <row r="121" spans="1:16" x14ac:dyDescent="0.35">
      <c r="A121" s="43">
        <v>121</v>
      </c>
      <c r="B121" s="35">
        <v>45784</v>
      </c>
      <c r="C121" s="1" t="s">
        <v>35</v>
      </c>
      <c r="D121" s="1" t="s">
        <v>17</v>
      </c>
      <c r="E121" s="1" t="s">
        <v>23</v>
      </c>
      <c r="F121" s="1" t="s">
        <v>52</v>
      </c>
      <c r="G121" s="1">
        <v>75</v>
      </c>
      <c r="H121" s="1">
        <v>38.9</v>
      </c>
      <c r="I121" s="1">
        <v>35</v>
      </c>
      <c r="J121" s="1">
        <f t="shared" si="10"/>
        <v>292.49999999999989</v>
      </c>
      <c r="K121" s="1">
        <v>45</v>
      </c>
      <c r="L121" s="1">
        <f t="shared" si="6"/>
        <v>457.50000000000011</v>
      </c>
      <c r="M121" s="3">
        <f t="shared" si="7"/>
        <v>1.5641025641025652</v>
      </c>
      <c r="N121" s="1">
        <v>37.049999999999997</v>
      </c>
      <c r="O121" s="13">
        <f t="shared" si="8"/>
        <v>-138.75000000000011</v>
      </c>
      <c r="P121" s="44">
        <f t="shared" si="9"/>
        <v>-0.47435897435897495</v>
      </c>
    </row>
    <row r="122" spans="1:16" x14ac:dyDescent="0.35">
      <c r="A122" s="43">
        <v>122</v>
      </c>
      <c r="B122" s="35">
        <v>45784</v>
      </c>
      <c r="C122" s="1" t="s">
        <v>35</v>
      </c>
      <c r="D122" s="1" t="s">
        <v>17</v>
      </c>
      <c r="E122" s="1" t="s">
        <v>23</v>
      </c>
      <c r="F122" s="1" t="s">
        <v>53</v>
      </c>
      <c r="G122" s="1">
        <v>150</v>
      </c>
      <c r="H122" s="1">
        <v>16</v>
      </c>
      <c r="I122" s="1">
        <v>15</v>
      </c>
      <c r="J122" s="1">
        <f t="shared" si="10"/>
        <v>150</v>
      </c>
      <c r="K122" s="1">
        <v>20</v>
      </c>
      <c r="L122" s="1">
        <f t="shared" si="6"/>
        <v>600</v>
      </c>
      <c r="M122" s="3">
        <f t="shared" si="7"/>
        <v>4</v>
      </c>
      <c r="N122" s="1">
        <v>22.35</v>
      </c>
      <c r="O122" s="4">
        <f t="shared" si="8"/>
        <v>952.50000000000023</v>
      </c>
      <c r="P122" s="44">
        <f t="shared" si="9"/>
        <v>6.3500000000000014</v>
      </c>
    </row>
    <row r="123" spans="1:16" x14ac:dyDescent="0.35">
      <c r="A123" s="43">
        <v>123</v>
      </c>
      <c r="B123" s="35">
        <v>45785</v>
      </c>
      <c r="C123" s="1" t="s">
        <v>35</v>
      </c>
      <c r="D123" s="1" t="s">
        <v>17</v>
      </c>
      <c r="E123" s="1" t="s">
        <v>23</v>
      </c>
      <c r="F123" s="1" t="s">
        <v>52</v>
      </c>
      <c r="G123" s="1">
        <v>75</v>
      </c>
      <c r="H123" s="1">
        <v>28.4</v>
      </c>
      <c r="I123" s="1">
        <v>25</v>
      </c>
      <c r="J123" s="1">
        <f t="shared" si="10"/>
        <v>254.99999999999989</v>
      </c>
      <c r="K123" s="1">
        <v>35</v>
      </c>
      <c r="L123" s="1">
        <f t="shared" si="6"/>
        <v>495.00000000000011</v>
      </c>
      <c r="M123" s="3">
        <f t="shared" si="7"/>
        <v>1.9411764705882366</v>
      </c>
      <c r="N123" s="1">
        <v>31.1</v>
      </c>
      <c r="O123" s="4">
        <f t="shared" si="8"/>
        <v>202.50000000000023</v>
      </c>
      <c r="P123" s="44">
        <f t="shared" si="9"/>
        <v>0.79411764705882482</v>
      </c>
    </row>
    <row r="124" spans="1:16" x14ac:dyDescent="0.35">
      <c r="A124" s="43">
        <v>124</v>
      </c>
      <c r="B124" s="35">
        <v>45784</v>
      </c>
      <c r="C124" s="1" t="s">
        <v>35</v>
      </c>
      <c r="D124" s="1" t="s">
        <v>17</v>
      </c>
      <c r="E124" s="1" t="s">
        <v>23</v>
      </c>
      <c r="F124" s="1" t="s">
        <v>52</v>
      </c>
      <c r="G124" s="1">
        <v>75</v>
      </c>
      <c r="H124" s="1">
        <v>27.45</v>
      </c>
      <c r="I124" s="1">
        <v>25</v>
      </c>
      <c r="J124" s="1">
        <f t="shared" si="10"/>
        <v>183.74999999999994</v>
      </c>
      <c r="K124" s="1">
        <v>35</v>
      </c>
      <c r="L124" s="1">
        <f t="shared" si="6"/>
        <v>566.25</v>
      </c>
      <c r="M124" s="3">
        <f t="shared" si="7"/>
        <v>3.0816326530612255</v>
      </c>
      <c r="N124" s="1">
        <v>25.8</v>
      </c>
      <c r="O124" s="13">
        <f t="shared" si="8"/>
        <v>-123.74999999999989</v>
      </c>
      <c r="P124" s="44">
        <f t="shared" si="9"/>
        <v>-0.67346938775510168</v>
      </c>
    </row>
    <row r="125" spans="1:16" x14ac:dyDescent="0.35">
      <c r="A125" s="36">
        <v>125</v>
      </c>
      <c r="B125" s="2">
        <v>45785</v>
      </c>
      <c r="C125" s="1" t="s">
        <v>26</v>
      </c>
      <c r="D125" s="1" t="s">
        <v>17</v>
      </c>
      <c r="E125" s="1" t="s">
        <v>21</v>
      </c>
      <c r="F125" s="1" t="s">
        <v>52</v>
      </c>
      <c r="G125" s="1">
        <v>75</v>
      </c>
      <c r="H125" s="1">
        <v>48</v>
      </c>
      <c r="I125" s="1">
        <v>45</v>
      </c>
      <c r="J125" s="1">
        <f t="shared" si="10"/>
        <v>225</v>
      </c>
      <c r="K125" s="1">
        <v>55</v>
      </c>
      <c r="L125" s="1">
        <f t="shared" si="6"/>
        <v>525</v>
      </c>
      <c r="M125" s="3">
        <f t="shared" si="7"/>
        <v>2.3333333333333335</v>
      </c>
      <c r="N125" s="1">
        <v>46.95</v>
      </c>
      <c r="O125" s="13">
        <f t="shared" si="8"/>
        <v>-78.749999999999787</v>
      </c>
      <c r="P125" s="44">
        <f t="shared" si="9"/>
        <v>-0.34999999999999903</v>
      </c>
    </row>
    <row r="126" spans="1:16" x14ac:dyDescent="0.35">
      <c r="A126" s="36">
        <v>126</v>
      </c>
      <c r="B126" s="2">
        <v>45785</v>
      </c>
      <c r="C126" s="1" t="s">
        <v>26</v>
      </c>
      <c r="D126" s="1" t="s">
        <v>17</v>
      </c>
      <c r="E126" s="1" t="s">
        <v>21</v>
      </c>
      <c r="F126" s="1" t="s">
        <v>52</v>
      </c>
      <c r="G126" s="1">
        <v>75</v>
      </c>
      <c r="H126" s="1">
        <v>48.7</v>
      </c>
      <c r="I126" s="1">
        <v>45</v>
      </c>
      <c r="J126" s="1">
        <f t="shared" si="10"/>
        <v>277.50000000000023</v>
      </c>
      <c r="K126" s="1">
        <v>55</v>
      </c>
      <c r="L126" s="1">
        <f t="shared" si="6"/>
        <v>472.49999999999977</v>
      </c>
      <c r="M126" s="3">
        <f t="shared" si="7"/>
        <v>1.7027027027027004</v>
      </c>
      <c r="N126" s="1">
        <v>50.8</v>
      </c>
      <c r="O126" s="4">
        <f t="shared" si="8"/>
        <v>157.49999999999957</v>
      </c>
      <c r="P126" s="44">
        <f t="shared" si="9"/>
        <v>0.56756756756756555</v>
      </c>
    </row>
    <row r="127" spans="1:16" x14ac:dyDescent="0.35">
      <c r="A127" s="36">
        <v>127</v>
      </c>
      <c r="B127" s="2">
        <v>45785</v>
      </c>
      <c r="C127" s="1" t="s">
        <v>26</v>
      </c>
      <c r="D127" s="1" t="s">
        <v>17</v>
      </c>
      <c r="E127" s="1" t="s">
        <v>21</v>
      </c>
      <c r="F127" s="1" t="s">
        <v>52</v>
      </c>
      <c r="G127" s="1">
        <v>75</v>
      </c>
      <c r="H127" s="1">
        <v>55.6</v>
      </c>
      <c r="I127" s="1">
        <v>53</v>
      </c>
      <c r="J127" s="1">
        <f t="shared" si="10"/>
        <v>195.00000000000011</v>
      </c>
      <c r="K127" s="1">
        <v>63</v>
      </c>
      <c r="L127" s="1">
        <f t="shared" si="6"/>
        <v>554.99999999999989</v>
      </c>
      <c r="M127" s="3">
        <f t="shared" si="7"/>
        <v>2.846153846153844</v>
      </c>
      <c r="N127" s="1">
        <v>57.95</v>
      </c>
      <c r="O127" s="4">
        <f t="shared" si="8"/>
        <v>176.25000000000011</v>
      </c>
      <c r="P127" s="44">
        <f t="shared" si="9"/>
        <v>0.90384615384615385</v>
      </c>
    </row>
    <row r="128" spans="1:16" x14ac:dyDescent="0.35">
      <c r="A128" s="36">
        <v>128</v>
      </c>
      <c r="B128" s="2">
        <v>45785</v>
      </c>
      <c r="C128" s="1" t="s">
        <v>26</v>
      </c>
      <c r="D128" s="1" t="s">
        <v>17</v>
      </c>
      <c r="E128" s="1" t="s">
        <v>21</v>
      </c>
      <c r="F128" s="1" t="s">
        <v>52</v>
      </c>
      <c r="G128" s="1">
        <v>75</v>
      </c>
      <c r="H128" s="1">
        <v>64.349999999999994</v>
      </c>
      <c r="I128" s="1">
        <v>60</v>
      </c>
      <c r="J128" s="1">
        <f t="shared" si="10"/>
        <v>326.24999999999955</v>
      </c>
      <c r="K128" s="1">
        <v>73</v>
      </c>
      <c r="L128" s="1">
        <f t="shared" si="6"/>
        <v>648.75000000000045</v>
      </c>
      <c r="M128" s="3">
        <f t="shared" si="7"/>
        <v>1.9885057471264409</v>
      </c>
      <c r="N128" s="1">
        <v>65.150000000000006</v>
      </c>
      <c r="O128" s="4">
        <f t="shared" si="8"/>
        <v>60.000000000000853</v>
      </c>
      <c r="P128" s="44">
        <f t="shared" si="9"/>
        <v>0.18390804597701435</v>
      </c>
    </row>
    <row r="129" spans="1:16" x14ac:dyDescent="0.35">
      <c r="A129" s="36">
        <v>129</v>
      </c>
      <c r="B129" s="2">
        <v>45785</v>
      </c>
      <c r="C129" s="1" t="s">
        <v>26</v>
      </c>
      <c r="D129" s="1" t="s">
        <v>17</v>
      </c>
      <c r="E129" s="1" t="s">
        <v>21</v>
      </c>
      <c r="F129" s="1" t="s">
        <v>52</v>
      </c>
      <c r="G129" s="1">
        <v>75</v>
      </c>
      <c r="H129" s="1">
        <v>69.650000000000006</v>
      </c>
      <c r="I129" s="1">
        <v>65</v>
      </c>
      <c r="J129" s="1">
        <f t="shared" si="10"/>
        <v>348.75000000000045</v>
      </c>
      <c r="K129" s="1">
        <v>80</v>
      </c>
      <c r="L129" s="1">
        <f t="shared" si="6"/>
        <v>776.24999999999955</v>
      </c>
      <c r="M129" s="3">
        <f t="shared" si="7"/>
        <v>2.225806451612899</v>
      </c>
      <c r="N129" s="1">
        <v>67.05</v>
      </c>
      <c r="O129" s="13">
        <f t="shared" si="8"/>
        <v>-195.00000000000063</v>
      </c>
      <c r="P129" s="44">
        <f t="shared" si="9"/>
        <v>-0.55913978494623762</v>
      </c>
    </row>
    <row r="130" spans="1:16" x14ac:dyDescent="0.35">
      <c r="A130" s="36">
        <v>130</v>
      </c>
      <c r="B130" s="2">
        <v>45785</v>
      </c>
      <c r="C130" s="1" t="s">
        <v>26</v>
      </c>
      <c r="D130" s="1" t="s">
        <v>17</v>
      </c>
      <c r="E130" s="1" t="s">
        <v>21</v>
      </c>
      <c r="F130" s="1" t="s">
        <v>52</v>
      </c>
      <c r="G130" s="1">
        <v>75</v>
      </c>
      <c r="H130" s="1">
        <v>46.8</v>
      </c>
      <c r="I130" s="1">
        <v>43</v>
      </c>
      <c r="J130" s="1">
        <f t="shared" si="10"/>
        <v>284.99999999999977</v>
      </c>
      <c r="K130" s="1">
        <v>51</v>
      </c>
      <c r="L130" s="1">
        <f t="shared" ref="L130:L147" si="11">(K130-H130)*G130</f>
        <v>315.00000000000023</v>
      </c>
      <c r="M130" s="3">
        <f t="shared" ref="M130:M147" si="12">L130/J130</f>
        <v>1.1052631578947385</v>
      </c>
      <c r="N130" s="1">
        <v>50.15</v>
      </c>
      <c r="O130" s="4">
        <f t="shared" ref="O130:O147" si="13">(N130-H130)*G130</f>
        <v>251.25000000000011</v>
      </c>
      <c r="P130" s="44">
        <f t="shared" ref="P130:P147" si="14">O130/J130</f>
        <v>0.88157894736842213</v>
      </c>
    </row>
    <row r="131" spans="1:16" x14ac:dyDescent="0.35">
      <c r="A131" s="36">
        <v>131</v>
      </c>
      <c r="B131" s="2">
        <v>45785</v>
      </c>
      <c r="C131" s="1" t="s">
        <v>26</v>
      </c>
      <c r="D131" s="1" t="s">
        <v>17</v>
      </c>
      <c r="E131" s="1" t="s">
        <v>21</v>
      </c>
      <c r="F131" s="1" t="s">
        <v>52</v>
      </c>
      <c r="G131" s="1">
        <v>75</v>
      </c>
      <c r="H131" s="1">
        <v>21.9</v>
      </c>
      <c r="I131" s="1">
        <v>18</v>
      </c>
      <c r="J131" s="1">
        <f t="shared" si="10"/>
        <v>292.49999999999989</v>
      </c>
      <c r="K131" s="1">
        <v>32</v>
      </c>
      <c r="L131" s="1">
        <f t="shared" si="11"/>
        <v>757.50000000000011</v>
      </c>
      <c r="M131" s="3">
        <f t="shared" si="12"/>
        <v>2.5897435897435912</v>
      </c>
      <c r="N131" s="1">
        <v>25.9</v>
      </c>
      <c r="O131" s="4">
        <f t="shared" si="13"/>
        <v>300</v>
      </c>
      <c r="P131" s="44">
        <f t="shared" si="14"/>
        <v>1.025641025641026</v>
      </c>
    </row>
    <row r="132" spans="1:16" x14ac:dyDescent="0.35">
      <c r="A132" s="36">
        <v>132</v>
      </c>
      <c r="B132" s="2">
        <v>45785</v>
      </c>
      <c r="C132" s="1" t="s">
        <v>26</v>
      </c>
      <c r="D132" s="1" t="s">
        <v>17</v>
      </c>
      <c r="E132" s="1" t="s">
        <v>23</v>
      </c>
      <c r="F132" s="1" t="s">
        <v>19</v>
      </c>
      <c r="G132" s="1">
        <v>75</v>
      </c>
      <c r="H132" s="1">
        <v>16.05</v>
      </c>
      <c r="I132" s="1">
        <v>14</v>
      </c>
      <c r="J132" s="1">
        <f t="shared" si="10"/>
        <v>153.75000000000006</v>
      </c>
      <c r="K132" s="1">
        <v>22</v>
      </c>
      <c r="L132" s="1">
        <f t="shared" si="11"/>
        <v>446.24999999999994</v>
      </c>
      <c r="M132" s="3">
        <f t="shared" si="12"/>
        <v>2.9024390243902425</v>
      </c>
      <c r="N132" s="1">
        <v>11.9</v>
      </c>
      <c r="O132" s="13">
        <f t="shared" si="13"/>
        <v>-311.25</v>
      </c>
      <c r="P132" s="44">
        <f t="shared" si="14"/>
        <v>-2.0243902439024382</v>
      </c>
    </row>
    <row r="133" spans="1:16" x14ac:dyDescent="0.35">
      <c r="A133" s="36">
        <v>133</v>
      </c>
      <c r="B133" s="2">
        <v>45785</v>
      </c>
      <c r="C133" s="1" t="s">
        <v>26</v>
      </c>
      <c r="D133" s="1" t="s">
        <v>17</v>
      </c>
      <c r="E133" s="1" t="s">
        <v>54</v>
      </c>
      <c r="F133" s="1" t="s">
        <v>52</v>
      </c>
      <c r="G133" s="1">
        <v>75</v>
      </c>
      <c r="H133" s="1">
        <v>22.75</v>
      </c>
      <c r="I133" s="1">
        <v>20</v>
      </c>
      <c r="J133" s="1">
        <f t="shared" si="10"/>
        <v>206.25</v>
      </c>
      <c r="K133" s="1">
        <v>28</v>
      </c>
      <c r="L133" s="1">
        <f t="shared" si="11"/>
        <v>393.75</v>
      </c>
      <c r="M133" s="3">
        <f t="shared" si="12"/>
        <v>1.9090909090909092</v>
      </c>
      <c r="N133" s="1">
        <v>25.75</v>
      </c>
      <c r="O133" s="4">
        <f t="shared" si="13"/>
        <v>225</v>
      </c>
      <c r="P133" s="44">
        <f t="shared" si="14"/>
        <v>1.0909090909090908</v>
      </c>
    </row>
    <row r="134" spans="1:16" x14ac:dyDescent="0.35">
      <c r="A134" s="36">
        <v>134</v>
      </c>
      <c r="B134" s="2">
        <v>45785</v>
      </c>
      <c r="C134" s="1" t="s">
        <v>26</v>
      </c>
      <c r="D134" s="1" t="s">
        <v>17</v>
      </c>
      <c r="E134" s="1" t="s">
        <v>54</v>
      </c>
      <c r="F134" s="1" t="s">
        <v>19</v>
      </c>
      <c r="G134" s="1">
        <v>150</v>
      </c>
      <c r="H134" s="1">
        <v>11</v>
      </c>
      <c r="I134" s="1">
        <v>10</v>
      </c>
      <c r="J134" s="1">
        <f t="shared" si="10"/>
        <v>150</v>
      </c>
      <c r="K134" s="1">
        <v>15</v>
      </c>
      <c r="L134" s="1">
        <f t="shared" si="11"/>
        <v>600</v>
      </c>
      <c r="M134" s="3">
        <f t="shared" si="12"/>
        <v>4</v>
      </c>
      <c r="N134" s="1">
        <v>9.0500000000000007</v>
      </c>
      <c r="O134" s="13">
        <f t="shared" si="13"/>
        <v>-292.49999999999989</v>
      </c>
      <c r="P134" s="44">
        <f t="shared" si="14"/>
        <v>-1.9499999999999993</v>
      </c>
    </row>
    <row r="135" spans="1:16" x14ac:dyDescent="0.35">
      <c r="A135" s="36">
        <v>135</v>
      </c>
      <c r="B135" s="2">
        <v>45785</v>
      </c>
      <c r="C135" s="1" t="s">
        <v>26</v>
      </c>
      <c r="D135" s="1" t="s">
        <v>17</v>
      </c>
      <c r="E135" s="1" t="s">
        <v>54</v>
      </c>
      <c r="F135" s="1" t="s">
        <v>19</v>
      </c>
      <c r="G135" s="1">
        <v>75</v>
      </c>
      <c r="H135" s="1">
        <v>11.65</v>
      </c>
      <c r="I135" s="1">
        <v>10</v>
      </c>
      <c r="J135" s="1">
        <f t="shared" si="10"/>
        <v>123.75000000000003</v>
      </c>
      <c r="K135" s="1">
        <v>19</v>
      </c>
      <c r="L135" s="1">
        <f t="shared" si="11"/>
        <v>551.25</v>
      </c>
      <c r="M135" s="3">
        <f t="shared" si="12"/>
        <v>4.4545454545454533</v>
      </c>
      <c r="N135" s="1">
        <v>15.65</v>
      </c>
      <c r="O135" s="4">
        <f t="shared" si="13"/>
        <v>300</v>
      </c>
      <c r="P135" s="44">
        <f t="shared" si="14"/>
        <v>2.4242424242424239</v>
      </c>
    </row>
    <row r="136" spans="1:16" x14ac:dyDescent="0.35">
      <c r="A136" s="36">
        <v>136</v>
      </c>
      <c r="B136" s="2">
        <v>45785</v>
      </c>
      <c r="C136" s="1" t="s">
        <v>26</v>
      </c>
      <c r="D136" s="1" t="s">
        <v>17</v>
      </c>
      <c r="E136" s="1" t="s">
        <v>54</v>
      </c>
      <c r="F136" s="1" t="s">
        <v>19</v>
      </c>
      <c r="G136" s="1">
        <v>75</v>
      </c>
      <c r="H136" s="1">
        <v>13.5</v>
      </c>
      <c r="I136" s="1">
        <v>13</v>
      </c>
      <c r="J136" s="1">
        <f t="shared" si="10"/>
        <v>37.5</v>
      </c>
      <c r="K136" s="1">
        <v>19</v>
      </c>
      <c r="L136" s="1">
        <f t="shared" si="11"/>
        <v>412.5</v>
      </c>
      <c r="M136" s="3">
        <f t="shared" si="12"/>
        <v>11</v>
      </c>
      <c r="N136" s="1">
        <v>13.65</v>
      </c>
      <c r="O136" s="4">
        <f t="shared" si="13"/>
        <v>11.250000000000027</v>
      </c>
      <c r="P136" s="44">
        <f t="shared" si="14"/>
        <v>0.30000000000000071</v>
      </c>
    </row>
    <row r="137" spans="1:16" x14ac:dyDescent="0.35">
      <c r="A137" s="36">
        <v>137</v>
      </c>
      <c r="B137" s="2">
        <v>45785</v>
      </c>
      <c r="C137" s="1" t="s">
        <v>26</v>
      </c>
      <c r="D137" s="1" t="s">
        <v>17</v>
      </c>
      <c r="E137" s="1" t="s">
        <v>54</v>
      </c>
      <c r="F137" s="1" t="s">
        <v>19</v>
      </c>
      <c r="G137" s="1">
        <v>75</v>
      </c>
      <c r="H137" s="1">
        <v>11.75</v>
      </c>
      <c r="I137" s="1">
        <v>11</v>
      </c>
      <c r="J137" s="1">
        <f t="shared" si="10"/>
        <v>56.25</v>
      </c>
      <c r="K137" s="1">
        <v>22</v>
      </c>
      <c r="L137" s="1">
        <f t="shared" si="11"/>
        <v>768.75</v>
      </c>
      <c r="M137" s="3">
        <f t="shared" si="12"/>
        <v>13.666666666666666</v>
      </c>
      <c r="N137" s="1">
        <v>9.5500000000000007</v>
      </c>
      <c r="O137" s="13">
        <f t="shared" si="13"/>
        <v>-164.99999999999994</v>
      </c>
      <c r="P137" s="44">
        <f t="shared" si="14"/>
        <v>-2.9333333333333322</v>
      </c>
    </row>
    <row r="138" spans="1:16" x14ac:dyDescent="0.35">
      <c r="A138" s="36">
        <v>138</v>
      </c>
      <c r="B138" s="2">
        <v>45785</v>
      </c>
      <c r="C138" s="1" t="s">
        <v>26</v>
      </c>
      <c r="D138" s="1" t="s">
        <v>17</v>
      </c>
      <c r="E138" s="1" t="s">
        <v>54</v>
      </c>
      <c r="F138" s="1" t="s">
        <v>19</v>
      </c>
      <c r="G138" s="1">
        <v>75</v>
      </c>
      <c r="H138" s="1">
        <v>12.3</v>
      </c>
      <c r="I138" s="1">
        <v>10</v>
      </c>
      <c r="J138" s="1">
        <f t="shared" si="10"/>
        <v>172.50000000000006</v>
      </c>
      <c r="K138" s="1">
        <v>18</v>
      </c>
      <c r="L138" s="1">
        <f t="shared" si="11"/>
        <v>427.49999999999994</v>
      </c>
      <c r="M138" s="3">
        <f t="shared" si="12"/>
        <v>2.4782608695652164</v>
      </c>
      <c r="N138" s="1">
        <v>16.25</v>
      </c>
      <c r="O138" s="4">
        <f t="shared" si="13"/>
        <v>296.24999999999994</v>
      </c>
      <c r="P138" s="44">
        <f t="shared" si="14"/>
        <v>1.7173913043478253</v>
      </c>
    </row>
    <row r="139" spans="1:16" x14ac:dyDescent="0.35">
      <c r="A139" s="36">
        <v>139</v>
      </c>
      <c r="B139" s="2">
        <v>45785</v>
      </c>
      <c r="C139" s="1" t="s">
        <v>26</v>
      </c>
      <c r="D139" s="1" t="s">
        <v>17</v>
      </c>
      <c r="E139" s="1" t="s">
        <v>54</v>
      </c>
      <c r="F139" s="1" t="s">
        <v>19</v>
      </c>
      <c r="G139" s="1">
        <v>75</v>
      </c>
      <c r="H139" s="1">
        <v>19.850000000000001</v>
      </c>
      <c r="I139" s="1">
        <v>16</v>
      </c>
      <c r="J139" s="1">
        <f t="shared" si="10"/>
        <v>288.75000000000011</v>
      </c>
      <c r="K139" s="1">
        <v>26</v>
      </c>
      <c r="L139" s="1">
        <f t="shared" si="11"/>
        <v>461.24999999999989</v>
      </c>
      <c r="M139" s="3">
        <f t="shared" si="12"/>
        <v>1.5974025974025963</v>
      </c>
      <c r="N139" s="26">
        <v>18.7</v>
      </c>
      <c r="O139" s="13">
        <f t="shared" si="13"/>
        <v>-86.250000000000156</v>
      </c>
      <c r="P139" s="44">
        <f t="shared" si="14"/>
        <v>-0.29870129870129913</v>
      </c>
    </row>
    <row r="140" spans="1:16" x14ac:dyDescent="0.35">
      <c r="A140" s="36">
        <v>140</v>
      </c>
      <c r="B140" s="2">
        <v>45785</v>
      </c>
      <c r="C140" s="1" t="s">
        <v>26</v>
      </c>
      <c r="D140" s="1" t="s">
        <v>17</v>
      </c>
      <c r="E140" s="1" t="s">
        <v>54</v>
      </c>
      <c r="F140" s="1" t="s">
        <v>19</v>
      </c>
      <c r="G140" s="1">
        <v>75</v>
      </c>
      <c r="H140" s="1">
        <v>24</v>
      </c>
      <c r="I140" s="1">
        <v>23</v>
      </c>
      <c r="J140" s="1">
        <f t="shared" si="10"/>
        <v>75</v>
      </c>
      <c r="K140" s="1">
        <v>32</v>
      </c>
      <c r="L140" s="1">
        <f t="shared" si="11"/>
        <v>600</v>
      </c>
      <c r="M140" s="3">
        <f t="shared" si="12"/>
        <v>8</v>
      </c>
      <c r="N140" s="1">
        <v>24.65</v>
      </c>
      <c r="O140" s="4">
        <f t="shared" si="13"/>
        <v>48.749999999999893</v>
      </c>
      <c r="P140" s="44">
        <f t="shared" si="14"/>
        <v>0.64999999999999858</v>
      </c>
    </row>
    <row r="141" spans="1:16" x14ac:dyDescent="0.35">
      <c r="A141" s="36">
        <v>141</v>
      </c>
      <c r="B141" s="2">
        <v>45785</v>
      </c>
      <c r="C141" s="1" t="s">
        <v>26</v>
      </c>
      <c r="D141" s="1" t="s">
        <v>17</v>
      </c>
      <c r="E141" s="1" t="s">
        <v>23</v>
      </c>
      <c r="F141" s="1" t="s">
        <v>55</v>
      </c>
      <c r="G141" s="1">
        <v>75</v>
      </c>
      <c r="H141" s="1">
        <v>43.85</v>
      </c>
      <c r="I141" s="1">
        <v>42</v>
      </c>
      <c r="J141" s="1">
        <f t="shared" si="10"/>
        <v>138.75000000000011</v>
      </c>
      <c r="K141" s="1">
        <v>55</v>
      </c>
      <c r="L141" s="1">
        <f t="shared" si="11"/>
        <v>836.24999999999989</v>
      </c>
      <c r="M141" s="3">
        <f t="shared" si="12"/>
        <v>6.027027027027021</v>
      </c>
      <c r="N141" s="1">
        <v>53.25</v>
      </c>
      <c r="O141" s="4">
        <f t="shared" si="13"/>
        <v>704.99999999999989</v>
      </c>
      <c r="P141" s="44">
        <f t="shared" si="14"/>
        <v>5.0810810810810763</v>
      </c>
    </row>
    <row r="142" spans="1:16" x14ac:dyDescent="0.35">
      <c r="A142" s="36">
        <v>142</v>
      </c>
      <c r="B142" s="2">
        <v>45785</v>
      </c>
      <c r="C142" s="1" t="s">
        <v>26</v>
      </c>
      <c r="D142" s="1" t="s">
        <v>17</v>
      </c>
      <c r="E142" s="1" t="s">
        <v>23</v>
      </c>
      <c r="F142" s="1" t="s">
        <v>55</v>
      </c>
      <c r="G142" s="1">
        <v>75</v>
      </c>
      <c r="H142" s="1">
        <v>60.65</v>
      </c>
      <c r="I142" s="1">
        <v>59</v>
      </c>
      <c r="J142" s="1">
        <f t="shared" si="10"/>
        <v>123.74999999999989</v>
      </c>
      <c r="K142" s="1">
        <v>65</v>
      </c>
      <c r="L142" s="1">
        <f t="shared" si="11"/>
        <v>326.25000000000011</v>
      </c>
      <c r="M142" s="3">
        <f t="shared" si="12"/>
        <v>2.6363636363636398</v>
      </c>
      <c r="N142" s="26">
        <v>62.8</v>
      </c>
      <c r="O142" s="4">
        <f t="shared" si="13"/>
        <v>161.24999999999989</v>
      </c>
      <c r="P142" s="44">
        <f t="shared" si="14"/>
        <v>1.3030303030303032</v>
      </c>
    </row>
    <row r="143" spans="1:16" x14ac:dyDescent="0.35">
      <c r="A143" s="36">
        <v>143</v>
      </c>
      <c r="B143" s="2">
        <v>45908</v>
      </c>
      <c r="C143" s="1" t="s">
        <v>26</v>
      </c>
      <c r="D143" s="1" t="s">
        <v>43</v>
      </c>
      <c r="E143" s="1" t="s">
        <v>21</v>
      </c>
      <c r="F143" s="1" t="s">
        <v>56</v>
      </c>
      <c r="G143" s="1">
        <v>75</v>
      </c>
      <c r="H143" s="1">
        <v>56.9</v>
      </c>
      <c r="I143" s="1">
        <v>51</v>
      </c>
      <c r="J143" s="1">
        <f t="shared" si="10"/>
        <v>442.49999999999989</v>
      </c>
      <c r="K143" s="1">
        <v>65</v>
      </c>
      <c r="L143" s="1">
        <f t="shared" si="11"/>
        <v>607.50000000000011</v>
      </c>
      <c r="M143" s="3">
        <f t="shared" si="12"/>
        <v>1.372881355932204</v>
      </c>
      <c r="N143" s="1">
        <v>50</v>
      </c>
      <c r="O143" s="13">
        <f t="shared" si="13"/>
        <v>-517.49999999999989</v>
      </c>
      <c r="P143" s="44">
        <f t="shared" si="14"/>
        <v>-1.1694915254237288</v>
      </c>
    </row>
    <row r="144" spans="1:16" x14ac:dyDescent="0.35">
      <c r="A144" s="36">
        <v>144</v>
      </c>
      <c r="B144" s="2">
        <v>45909</v>
      </c>
      <c r="C144" s="1" t="s">
        <v>39</v>
      </c>
      <c r="D144" s="1" t="s">
        <v>43</v>
      </c>
      <c r="E144" s="1" t="s">
        <v>23</v>
      </c>
      <c r="F144" s="1" t="s">
        <v>24</v>
      </c>
      <c r="G144" s="1">
        <v>75</v>
      </c>
      <c r="H144" s="1">
        <v>74.349999999999994</v>
      </c>
      <c r="I144" s="1">
        <v>70</v>
      </c>
      <c r="J144" s="1">
        <f t="shared" si="10"/>
        <v>326.24999999999955</v>
      </c>
      <c r="K144" s="1">
        <v>90</v>
      </c>
      <c r="L144" s="1">
        <f t="shared" si="11"/>
        <v>1173.7500000000005</v>
      </c>
      <c r="M144" s="3">
        <f t="shared" si="12"/>
        <v>3.5977011494252937</v>
      </c>
      <c r="N144" s="1">
        <v>54</v>
      </c>
      <c r="O144" s="13">
        <f t="shared" si="13"/>
        <v>-1526.2499999999995</v>
      </c>
      <c r="P144" s="44">
        <f t="shared" si="14"/>
        <v>-4.6781609195402352</v>
      </c>
    </row>
    <row r="145" spans="1:16" x14ac:dyDescent="0.35">
      <c r="A145" s="36">
        <v>145</v>
      </c>
      <c r="B145" s="2">
        <v>45909</v>
      </c>
      <c r="C145" s="1" t="s">
        <v>35</v>
      </c>
      <c r="D145" s="1" t="s">
        <v>43</v>
      </c>
      <c r="E145" s="1" t="s">
        <v>18</v>
      </c>
      <c r="F145" s="1" t="s">
        <v>57</v>
      </c>
      <c r="G145" s="1">
        <v>150</v>
      </c>
      <c r="H145" s="1">
        <v>12</v>
      </c>
      <c r="I145" s="1">
        <v>10</v>
      </c>
      <c r="J145" s="1">
        <f t="shared" si="10"/>
        <v>300</v>
      </c>
      <c r="K145" s="1">
        <v>15</v>
      </c>
      <c r="L145" s="1">
        <f t="shared" si="11"/>
        <v>450</v>
      </c>
      <c r="M145" s="3">
        <f t="shared" si="12"/>
        <v>1.5</v>
      </c>
      <c r="N145" s="1">
        <v>13.85</v>
      </c>
      <c r="O145" s="4">
        <f t="shared" si="13"/>
        <v>277.49999999999994</v>
      </c>
      <c r="P145" s="44">
        <f t="shared" si="14"/>
        <v>0.92499999999999982</v>
      </c>
    </row>
    <row r="146" spans="1:16" x14ac:dyDescent="0.35">
      <c r="A146" s="36">
        <v>146</v>
      </c>
      <c r="B146" s="2">
        <v>45909</v>
      </c>
      <c r="C146" s="1" t="s">
        <v>35</v>
      </c>
      <c r="D146" s="1" t="s">
        <v>43</v>
      </c>
      <c r="E146" s="1" t="s">
        <v>18</v>
      </c>
      <c r="F146" s="1" t="s">
        <v>57</v>
      </c>
      <c r="G146" s="1">
        <v>75</v>
      </c>
      <c r="H146" s="1">
        <v>25</v>
      </c>
      <c r="I146" s="1">
        <v>20</v>
      </c>
      <c r="J146" s="1">
        <f t="shared" si="10"/>
        <v>375</v>
      </c>
      <c r="K146" s="1">
        <v>30</v>
      </c>
      <c r="L146" s="1">
        <f t="shared" si="11"/>
        <v>375</v>
      </c>
      <c r="M146" s="3">
        <f t="shared" si="12"/>
        <v>1</v>
      </c>
      <c r="N146" s="1">
        <v>16.850000000000001</v>
      </c>
      <c r="O146" s="13">
        <f t="shared" si="13"/>
        <v>-611.24999999999989</v>
      </c>
      <c r="P146" s="44">
        <f t="shared" si="14"/>
        <v>-1.6299999999999997</v>
      </c>
    </row>
    <row r="147" spans="1:16" x14ac:dyDescent="0.35">
      <c r="A147" s="54">
        <v>147</v>
      </c>
      <c r="B147" s="55">
        <v>45909</v>
      </c>
      <c r="C147" s="56" t="s">
        <v>35</v>
      </c>
      <c r="D147" s="56" t="s">
        <v>43</v>
      </c>
      <c r="E147" s="56" t="s">
        <v>18</v>
      </c>
      <c r="F147" s="56" t="s">
        <v>57</v>
      </c>
      <c r="G147" s="56">
        <v>75</v>
      </c>
      <c r="H147" s="56">
        <v>18</v>
      </c>
      <c r="I147" s="56">
        <v>15</v>
      </c>
      <c r="J147" s="56">
        <f t="shared" si="10"/>
        <v>225</v>
      </c>
      <c r="K147" s="56">
        <v>25</v>
      </c>
      <c r="L147" s="56">
        <f t="shared" si="11"/>
        <v>525</v>
      </c>
      <c r="M147" s="57">
        <f t="shared" si="12"/>
        <v>2.3333333333333335</v>
      </c>
      <c r="N147" s="56">
        <v>15.4</v>
      </c>
      <c r="O147" s="58">
        <f t="shared" si="13"/>
        <v>-194.99999999999997</v>
      </c>
      <c r="P147" s="59">
        <f t="shared" si="14"/>
        <v>-0.86666666666666659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DFAA-16CE-401D-97DE-4864C4D082BA}">
  <dimension ref="A1:P65"/>
  <sheetViews>
    <sheetView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F5" sqref="F5"/>
    </sheetView>
  </sheetViews>
  <sheetFormatPr defaultRowHeight="14.5" x14ac:dyDescent="0.35"/>
  <cols>
    <col min="1" max="1" width="12.81640625" style="82" bestFit="1" customWidth="1"/>
    <col min="2" max="2" width="7.36328125" style="82" bestFit="1" customWidth="1"/>
    <col min="3" max="3" width="12.90625" style="82" bestFit="1" customWidth="1"/>
    <col min="4" max="4" width="14.1796875" style="82" bestFit="1" customWidth="1"/>
    <col min="5" max="6" width="16.1796875" style="82" bestFit="1" customWidth="1"/>
    <col min="7" max="7" width="6" style="82" bestFit="1" customWidth="1"/>
    <col min="8" max="8" width="8.81640625" style="82" bestFit="1" customWidth="1"/>
    <col min="9" max="9" width="8" style="82" bestFit="1" customWidth="1"/>
    <col min="10" max="10" width="32.1796875" style="82" bestFit="1" customWidth="1"/>
    <col min="11" max="11" width="36.36328125" style="82" bestFit="1" customWidth="1"/>
    <col min="12" max="12" width="28.7265625" style="82" bestFit="1" customWidth="1"/>
    <col min="13" max="14" width="10.453125" style="82" bestFit="1" customWidth="1"/>
    <col min="15" max="15" width="8.1796875" style="82" bestFit="1" customWidth="1"/>
    <col min="16" max="16" width="11" style="82" bestFit="1" customWidth="1"/>
    <col min="17" max="16384" width="8.7265625" style="82"/>
  </cols>
  <sheetData>
    <row r="1" spans="1:16" x14ac:dyDescent="0.35">
      <c r="A1" s="99"/>
      <c r="B1" s="99"/>
      <c r="C1" s="99"/>
      <c r="D1" s="99"/>
      <c r="E1" s="103" t="s">
        <v>58</v>
      </c>
      <c r="F1" s="104"/>
      <c r="G1" s="99"/>
      <c r="H1" s="103" t="s">
        <v>59</v>
      </c>
      <c r="I1" s="104"/>
      <c r="J1" s="103" t="s">
        <v>60</v>
      </c>
      <c r="K1" s="104"/>
      <c r="L1" s="99"/>
      <c r="M1" s="103" t="s">
        <v>61</v>
      </c>
      <c r="N1" s="104"/>
      <c r="O1" s="99"/>
      <c r="P1" s="99"/>
    </row>
    <row r="2" spans="1:16" x14ac:dyDescent="0.35">
      <c r="A2" s="100" t="s">
        <v>62</v>
      </c>
      <c r="B2" s="100" t="s">
        <v>63</v>
      </c>
      <c r="C2" s="100" t="s">
        <v>64</v>
      </c>
      <c r="D2" s="100" t="s">
        <v>65</v>
      </c>
      <c r="E2" s="100" t="s">
        <v>66</v>
      </c>
      <c r="F2" s="100" t="s">
        <v>67</v>
      </c>
      <c r="G2" s="100" t="s">
        <v>68</v>
      </c>
      <c r="H2" s="100" t="s">
        <v>69</v>
      </c>
      <c r="I2" s="100" t="s">
        <v>70</v>
      </c>
      <c r="J2" s="100" t="s">
        <v>71</v>
      </c>
      <c r="K2" s="100" t="s">
        <v>72</v>
      </c>
      <c r="L2" s="100" t="s">
        <v>73</v>
      </c>
      <c r="M2" s="100" t="s">
        <v>71</v>
      </c>
      <c r="N2" s="100" t="s">
        <v>72</v>
      </c>
      <c r="O2" s="101" t="s">
        <v>74</v>
      </c>
      <c r="P2" s="100" t="s">
        <v>75</v>
      </c>
    </row>
    <row r="3" spans="1:16" x14ac:dyDescent="0.35">
      <c r="A3" s="91">
        <v>45518</v>
      </c>
      <c r="B3" s="84">
        <v>24367</v>
      </c>
      <c r="C3" s="88">
        <v>-351</v>
      </c>
      <c r="D3" s="93">
        <v>-1.4200000000000001E-2</v>
      </c>
      <c r="E3" s="84" t="s">
        <v>76</v>
      </c>
      <c r="F3" s="84" t="s">
        <v>77</v>
      </c>
      <c r="G3" s="84">
        <v>0.81</v>
      </c>
      <c r="H3" s="92">
        <v>-19140</v>
      </c>
      <c r="I3" s="85">
        <v>20.870999999999999</v>
      </c>
      <c r="J3" s="84" t="s">
        <v>78</v>
      </c>
      <c r="K3" s="84" t="s">
        <v>79</v>
      </c>
      <c r="L3" s="84"/>
      <c r="M3" s="84"/>
      <c r="N3" s="84"/>
      <c r="O3" s="84"/>
      <c r="P3" s="84"/>
    </row>
    <row r="4" spans="1:16" ht="58" x14ac:dyDescent="0.35">
      <c r="A4" s="91">
        <v>45526</v>
      </c>
      <c r="B4" s="84">
        <v>24541</v>
      </c>
      <c r="C4" s="85">
        <v>174</v>
      </c>
      <c r="D4" s="86">
        <v>7.1000000000000004E-3</v>
      </c>
      <c r="E4" s="84" t="s">
        <v>80</v>
      </c>
      <c r="F4" s="84" t="s">
        <v>81</v>
      </c>
      <c r="G4" s="84">
        <v>1.19</v>
      </c>
      <c r="H4" s="92">
        <v>-9383</v>
      </c>
      <c r="I4" s="87">
        <v>7954</v>
      </c>
      <c r="J4" s="90" t="s">
        <v>82</v>
      </c>
      <c r="K4" s="84"/>
      <c r="L4" s="84"/>
      <c r="M4" s="84" t="s">
        <v>83</v>
      </c>
      <c r="N4" s="84"/>
      <c r="O4" s="84">
        <v>4</v>
      </c>
      <c r="P4" s="84" t="s">
        <v>81</v>
      </c>
    </row>
    <row r="5" spans="1:16" ht="58" x14ac:dyDescent="0.35">
      <c r="A5" s="91">
        <v>45533</v>
      </c>
      <c r="B5" s="84">
        <v>24823</v>
      </c>
      <c r="C5" s="102">
        <v>282</v>
      </c>
      <c r="D5" s="86">
        <v>1.15E-2</v>
      </c>
      <c r="E5" s="84" t="s">
        <v>81</v>
      </c>
      <c r="F5" s="84" t="s">
        <v>81</v>
      </c>
      <c r="G5" s="84">
        <v>1.2</v>
      </c>
      <c r="H5" s="92">
        <v>-3553</v>
      </c>
      <c r="I5" s="87">
        <v>10124</v>
      </c>
      <c r="J5" s="84"/>
      <c r="K5" s="84"/>
      <c r="L5" s="90" t="s">
        <v>84</v>
      </c>
      <c r="M5" s="84"/>
      <c r="N5" s="84"/>
      <c r="O5" s="84">
        <v>4</v>
      </c>
      <c r="P5" s="84" t="s">
        <v>81</v>
      </c>
    </row>
    <row r="6" spans="1:16" ht="72.5" x14ac:dyDescent="0.35">
      <c r="A6" s="91">
        <v>45509</v>
      </c>
      <c r="B6" s="84">
        <v>25236</v>
      </c>
      <c r="C6" s="85">
        <v>413</v>
      </c>
      <c r="D6" s="86">
        <v>1.66E-2</v>
      </c>
      <c r="E6" s="84" t="s">
        <v>81</v>
      </c>
      <c r="F6" s="84" t="s">
        <v>81</v>
      </c>
      <c r="G6" s="84">
        <v>1.27</v>
      </c>
      <c r="H6" s="87">
        <v>3899</v>
      </c>
      <c r="I6" s="87">
        <v>4396</v>
      </c>
      <c r="J6" s="90" t="s">
        <v>85</v>
      </c>
      <c r="K6" s="84"/>
      <c r="L6" s="90" t="s">
        <v>86</v>
      </c>
      <c r="M6" s="84" t="s">
        <v>83</v>
      </c>
      <c r="N6" s="90" t="s">
        <v>87</v>
      </c>
      <c r="O6" s="84">
        <v>7</v>
      </c>
      <c r="P6" s="84" t="s">
        <v>81</v>
      </c>
    </row>
    <row r="7" spans="1:16" ht="72.5" x14ac:dyDescent="0.35">
      <c r="A7" s="91">
        <v>45547</v>
      </c>
      <c r="B7" s="84">
        <v>24852</v>
      </c>
      <c r="C7" s="88">
        <v>-384</v>
      </c>
      <c r="D7" s="93">
        <v>-1.52E-2</v>
      </c>
      <c r="E7" s="84" t="s">
        <v>80</v>
      </c>
      <c r="F7" s="84" t="s">
        <v>88</v>
      </c>
      <c r="G7" s="84">
        <v>0.61</v>
      </c>
      <c r="H7" s="87">
        <v>3051</v>
      </c>
      <c r="I7" s="87">
        <v>5321</v>
      </c>
      <c r="J7" s="90" t="s">
        <v>89</v>
      </c>
      <c r="K7" s="90" t="s">
        <v>90</v>
      </c>
      <c r="L7" s="90" t="s">
        <v>254</v>
      </c>
      <c r="M7" s="84" t="s">
        <v>91</v>
      </c>
      <c r="N7" s="84"/>
      <c r="O7" s="84">
        <v>-2</v>
      </c>
      <c r="P7" s="84" t="s">
        <v>80</v>
      </c>
    </row>
    <row r="8" spans="1:16" ht="87" x14ac:dyDescent="0.35">
      <c r="A8" s="83">
        <v>45554</v>
      </c>
      <c r="B8" s="84">
        <v>25356</v>
      </c>
      <c r="C8" s="85">
        <v>504</v>
      </c>
      <c r="D8" s="86">
        <v>2.0299999999999999E-2</v>
      </c>
      <c r="E8" s="84" t="s">
        <v>81</v>
      </c>
      <c r="F8" s="84" t="s">
        <v>81</v>
      </c>
      <c r="G8" s="84">
        <v>1.0900000000000001</v>
      </c>
      <c r="H8" s="87">
        <v>12835</v>
      </c>
      <c r="I8" s="88">
        <v>-88</v>
      </c>
      <c r="J8" s="89" t="s">
        <v>250</v>
      </c>
      <c r="K8" s="88" t="s">
        <v>92</v>
      </c>
      <c r="L8" s="90" t="s">
        <v>251</v>
      </c>
      <c r="M8" s="84" t="s">
        <v>91</v>
      </c>
      <c r="N8" s="84" t="s">
        <v>93</v>
      </c>
      <c r="O8" s="84">
        <v>6</v>
      </c>
      <c r="P8" s="84" t="s">
        <v>81</v>
      </c>
    </row>
    <row r="9" spans="1:16" ht="43.5" x14ac:dyDescent="0.35">
      <c r="A9" s="91">
        <v>45561</v>
      </c>
      <c r="B9" s="84">
        <v>25791</v>
      </c>
      <c r="C9" s="85">
        <v>435</v>
      </c>
      <c r="D9" s="86">
        <v>1.72E-2</v>
      </c>
      <c r="E9" s="84" t="s">
        <v>81</v>
      </c>
      <c r="F9" s="84" t="s">
        <v>81</v>
      </c>
      <c r="G9" s="84">
        <v>1.49</v>
      </c>
      <c r="H9" s="92">
        <v>-2546</v>
      </c>
      <c r="I9" s="87">
        <v>3793</v>
      </c>
      <c r="J9" s="90" t="s">
        <v>255</v>
      </c>
      <c r="K9" s="84"/>
      <c r="L9" s="90" t="s">
        <v>94</v>
      </c>
      <c r="M9" s="84" t="s">
        <v>91</v>
      </c>
      <c r="N9" s="84" t="s">
        <v>83</v>
      </c>
      <c r="O9" s="84">
        <v>8</v>
      </c>
      <c r="P9" s="84" t="s">
        <v>81</v>
      </c>
    </row>
    <row r="10" spans="1:16" ht="72.5" x14ac:dyDescent="0.35">
      <c r="A10" s="91">
        <v>45568</v>
      </c>
      <c r="B10" s="84">
        <v>26179</v>
      </c>
      <c r="C10" s="85">
        <v>388</v>
      </c>
      <c r="D10" s="86">
        <v>1.4999999999999999E-2</v>
      </c>
      <c r="E10" s="84" t="s">
        <v>81</v>
      </c>
      <c r="F10" s="84" t="s">
        <v>81</v>
      </c>
      <c r="G10" s="84">
        <v>1.05</v>
      </c>
      <c r="H10" s="92">
        <v>-3933</v>
      </c>
      <c r="I10" s="87">
        <v>15962</v>
      </c>
      <c r="J10" s="84"/>
      <c r="K10" s="84"/>
      <c r="L10" s="90" t="s">
        <v>95</v>
      </c>
      <c r="M10" s="90" t="s">
        <v>96</v>
      </c>
      <c r="N10" s="90" t="s">
        <v>97</v>
      </c>
      <c r="O10" s="84">
        <v>3</v>
      </c>
      <c r="P10" s="84" t="s">
        <v>81</v>
      </c>
    </row>
    <row r="11" spans="1:16" ht="29" x14ac:dyDescent="0.35">
      <c r="A11" s="91">
        <v>45575</v>
      </c>
      <c r="B11" s="84">
        <v>25049</v>
      </c>
      <c r="C11" s="92">
        <v>-1130</v>
      </c>
      <c r="D11" s="93">
        <v>-4.3200000000000002E-2</v>
      </c>
      <c r="E11" s="90" t="s">
        <v>88</v>
      </c>
      <c r="F11" s="84" t="s">
        <v>88</v>
      </c>
      <c r="G11" s="94">
        <v>0.5</v>
      </c>
      <c r="H11" s="92">
        <v>-40512</v>
      </c>
      <c r="I11" s="87">
        <v>33074</v>
      </c>
      <c r="J11" s="84" t="s">
        <v>98</v>
      </c>
      <c r="K11" s="90" t="s">
        <v>99</v>
      </c>
      <c r="L11" s="84"/>
      <c r="M11" s="84"/>
      <c r="N11" s="84"/>
      <c r="O11" s="84"/>
      <c r="P11" s="84"/>
    </row>
    <row r="12" spans="1:16" ht="58" x14ac:dyDescent="0.35">
      <c r="A12" s="91">
        <v>45582</v>
      </c>
      <c r="B12" s="84">
        <v>24964</v>
      </c>
      <c r="C12" s="88">
        <v>-85</v>
      </c>
      <c r="D12" s="93">
        <v>-3.3999999999999998E-3</v>
      </c>
      <c r="E12" s="84" t="s">
        <v>88</v>
      </c>
      <c r="F12" s="84" t="s">
        <v>80</v>
      </c>
      <c r="G12" s="84">
        <v>0.48</v>
      </c>
      <c r="H12" s="92">
        <v>-27675</v>
      </c>
      <c r="I12" s="87">
        <v>31364</v>
      </c>
      <c r="J12" s="84" t="s">
        <v>100</v>
      </c>
      <c r="K12" s="84" t="s">
        <v>101</v>
      </c>
      <c r="L12" s="90" t="s">
        <v>102</v>
      </c>
      <c r="M12" s="84"/>
      <c r="N12" s="84"/>
      <c r="O12" s="84">
        <v>-4</v>
      </c>
      <c r="P12" s="84" t="s">
        <v>88</v>
      </c>
    </row>
    <row r="13" spans="1:16" ht="43.5" x14ac:dyDescent="0.35">
      <c r="A13" s="91">
        <v>45589</v>
      </c>
      <c r="B13" s="84">
        <v>24854</v>
      </c>
      <c r="C13" s="88">
        <v>-110</v>
      </c>
      <c r="D13" s="93">
        <v>-4.4000000000000003E-3</v>
      </c>
      <c r="E13" s="84" t="s">
        <v>88</v>
      </c>
      <c r="F13" s="84" t="s">
        <v>80</v>
      </c>
      <c r="G13" s="84">
        <v>0.75</v>
      </c>
      <c r="H13" s="92">
        <v>-21823</v>
      </c>
      <c r="I13" s="87">
        <v>16384</v>
      </c>
      <c r="J13" s="90" t="s">
        <v>103</v>
      </c>
      <c r="K13" s="84" t="s">
        <v>104</v>
      </c>
      <c r="L13" s="84"/>
      <c r="M13" s="84" t="s">
        <v>105</v>
      </c>
      <c r="N13" s="84"/>
      <c r="O13" s="84">
        <v>-2</v>
      </c>
      <c r="P13" s="84" t="s">
        <v>80</v>
      </c>
    </row>
    <row r="14" spans="1:16" ht="58" x14ac:dyDescent="0.35">
      <c r="A14" s="91">
        <v>45596</v>
      </c>
      <c r="B14" s="84">
        <v>24181</v>
      </c>
      <c r="C14" s="88">
        <v>-673</v>
      </c>
      <c r="D14" s="93">
        <v>-2.7099999999999999E-2</v>
      </c>
      <c r="E14" s="84" t="s">
        <v>88</v>
      </c>
      <c r="F14" s="84" t="s">
        <v>88</v>
      </c>
      <c r="G14" s="84">
        <v>0.75</v>
      </c>
      <c r="H14" s="92">
        <v>-16988</v>
      </c>
      <c r="I14" s="87">
        <v>18755</v>
      </c>
      <c r="J14" s="84"/>
      <c r="K14" s="84"/>
      <c r="L14" s="90" t="s">
        <v>106</v>
      </c>
      <c r="M14" s="84" t="s">
        <v>83</v>
      </c>
      <c r="N14" s="84" t="s">
        <v>91</v>
      </c>
      <c r="O14" s="84">
        <v>-6</v>
      </c>
      <c r="P14" s="84" t="s">
        <v>88</v>
      </c>
    </row>
    <row r="15" spans="1:16" ht="72.5" x14ac:dyDescent="0.35">
      <c r="A15" s="91">
        <v>45610</v>
      </c>
      <c r="B15" s="84">
        <v>24148</v>
      </c>
      <c r="C15" s="88">
        <v>-57</v>
      </c>
      <c r="D15" s="93">
        <v>-2.3999999999999998E-3</v>
      </c>
      <c r="E15" s="84" t="s">
        <v>88</v>
      </c>
      <c r="F15" s="84" t="s">
        <v>80</v>
      </c>
      <c r="G15" s="84">
        <v>0.68</v>
      </c>
      <c r="H15" s="92">
        <v>-16234</v>
      </c>
      <c r="I15" s="87">
        <v>12643</v>
      </c>
      <c r="J15" s="90" t="s">
        <v>107</v>
      </c>
      <c r="K15" s="84" t="s">
        <v>108</v>
      </c>
      <c r="L15" s="84"/>
      <c r="M15" s="84" t="s">
        <v>83</v>
      </c>
      <c r="N15" s="84" t="s">
        <v>109</v>
      </c>
      <c r="O15" s="84">
        <v>-3</v>
      </c>
      <c r="P15" s="84" t="s">
        <v>88</v>
      </c>
    </row>
    <row r="16" spans="1:16" x14ac:dyDescent="0.35">
      <c r="A16" s="91">
        <v>45617</v>
      </c>
      <c r="B16" s="84">
        <v>23532</v>
      </c>
      <c r="C16" s="88">
        <v>-616</v>
      </c>
      <c r="D16" s="93">
        <v>-2.5499999999999998E-2</v>
      </c>
      <c r="E16" s="84" t="s">
        <v>88</v>
      </c>
      <c r="F16" s="84" t="s">
        <v>88</v>
      </c>
      <c r="G16" s="84">
        <v>0.64</v>
      </c>
      <c r="H16" s="92">
        <v>-7834</v>
      </c>
      <c r="I16" s="87">
        <v>10026</v>
      </c>
      <c r="J16" s="84" t="s">
        <v>110</v>
      </c>
      <c r="K16" s="84" t="s">
        <v>111</v>
      </c>
      <c r="L16" s="84"/>
      <c r="M16" s="84" t="s">
        <v>83</v>
      </c>
      <c r="N16" s="84" t="s">
        <v>91</v>
      </c>
      <c r="O16" s="84">
        <v>-7</v>
      </c>
      <c r="P16" s="84" t="s">
        <v>88</v>
      </c>
    </row>
    <row r="17" spans="1:16" x14ac:dyDescent="0.35">
      <c r="A17" s="91">
        <v>45624</v>
      </c>
      <c r="B17" s="84">
        <v>23907</v>
      </c>
      <c r="C17" s="85">
        <v>375</v>
      </c>
      <c r="D17" s="86">
        <v>1.5900000000000001E-2</v>
      </c>
      <c r="E17" s="84" t="s">
        <v>80</v>
      </c>
      <c r="F17" s="84" t="s">
        <v>81</v>
      </c>
      <c r="G17" s="84">
        <v>1.1499999999999999</v>
      </c>
      <c r="H17" s="92">
        <v>-11414</v>
      </c>
      <c r="I17" s="87">
        <v>11037</v>
      </c>
      <c r="J17" s="84"/>
      <c r="K17" s="84"/>
      <c r="L17" s="84" t="s">
        <v>112</v>
      </c>
      <c r="M17" s="84" t="s">
        <v>83</v>
      </c>
      <c r="N17" s="84"/>
      <c r="O17" s="84">
        <v>3</v>
      </c>
      <c r="P17" s="84" t="s">
        <v>81</v>
      </c>
    </row>
    <row r="18" spans="1:16" ht="29" x14ac:dyDescent="0.35">
      <c r="A18" s="91">
        <v>45631</v>
      </c>
      <c r="B18" s="84">
        <v>24131</v>
      </c>
      <c r="C18" s="85">
        <v>224</v>
      </c>
      <c r="D18" s="86" t="s">
        <v>113</v>
      </c>
      <c r="E18" s="84" t="s">
        <v>80</v>
      </c>
      <c r="F18" s="84" t="s">
        <v>80</v>
      </c>
      <c r="G18" s="84">
        <v>0.96</v>
      </c>
      <c r="H18" s="92">
        <v>-5027</v>
      </c>
      <c r="I18" s="87">
        <v>6925</v>
      </c>
      <c r="J18" s="84"/>
      <c r="K18" s="84"/>
      <c r="L18" s="84"/>
      <c r="M18" s="90" t="s">
        <v>114</v>
      </c>
      <c r="N18" s="90" t="s">
        <v>115</v>
      </c>
      <c r="O18" s="84">
        <v>1</v>
      </c>
      <c r="P18" s="84" t="s">
        <v>80</v>
      </c>
    </row>
    <row r="19" spans="1:16" ht="43.5" x14ac:dyDescent="0.35">
      <c r="A19" s="91">
        <v>45424</v>
      </c>
      <c r="B19" s="84">
        <v>24677</v>
      </c>
      <c r="C19" s="85">
        <v>546</v>
      </c>
      <c r="D19" s="86">
        <v>2.2599999999999999E-2</v>
      </c>
      <c r="E19" s="84" t="s">
        <v>81</v>
      </c>
      <c r="F19" s="84" t="s">
        <v>81</v>
      </c>
      <c r="G19" s="84">
        <v>0.89</v>
      </c>
      <c r="H19" s="87">
        <v>11934</v>
      </c>
      <c r="I19" s="87">
        <v>1792</v>
      </c>
      <c r="J19" s="90" t="s">
        <v>116</v>
      </c>
      <c r="K19" s="90" t="s">
        <v>117</v>
      </c>
      <c r="L19" s="90" t="s">
        <v>118</v>
      </c>
      <c r="M19" s="84"/>
      <c r="N19" s="84"/>
      <c r="O19" s="84">
        <v>4</v>
      </c>
      <c r="P19" s="84" t="s">
        <v>81</v>
      </c>
    </row>
    <row r="20" spans="1:16" ht="58" x14ac:dyDescent="0.35">
      <c r="A20" s="91">
        <v>45645</v>
      </c>
      <c r="B20" s="84">
        <v>24769</v>
      </c>
      <c r="C20" s="85">
        <v>92</v>
      </c>
      <c r="D20" s="86">
        <v>3.7000000000000002E-3</v>
      </c>
      <c r="E20" s="84" t="s">
        <v>77</v>
      </c>
      <c r="F20" s="84" t="s">
        <v>81</v>
      </c>
      <c r="G20" s="84">
        <v>1.03</v>
      </c>
      <c r="H20" s="92">
        <v>-227</v>
      </c>
      <c r="I20" s="87">
        <v>2880</v>
      </c>
      <c r="J20" s="84" t="s">
        <v>119</v>
      </c>
      <c r="K20" s="84"/>
      <c r="L20" s="90" t="s">
        <v>252</v>
      </c>
      <c r="M20" s="84" t="s">
        <v>83</v>
      </c>
      <c r="N20" s="84" t="s">
        <v>120</v>
      </c>
      <c r="O20" s="84">
        <v>3</v>
      </c>
      <c r="P20" s="84" t="s">
        <v>81</v>
      </c>
    </row>
    <row r="21" spans="1:16" ht="29" x14ac:dyDescent="0.35">
      <c r="A21" s="91">
        <v>45652</v>
      </c>
      <c r="B21" s="84">
        <v>23587</v>
      </c>
      <c r="C21" s="88">
        <v>-1182</v>
      </c>
      <c r="D21" s="93">
        <v>-4.7699999999999999E-2</v>
      </c>
      <c r="E21" s="84" t="s">
        <v>88</v>
      </c>
      <c r="F21" s="84" t="s">
        <v>88</v>
      </c>
      <c r="G21" s="84">
        <v>0.71</v>
      </c>
      <c r="H21" s="92">
        <v>-15828</v>
      </c>
      <c r="I21" s="87">
        <v>11874</v>
      </c>
      <c r="J21" s="84" t="s">
        <v>121</v>
      </c>
      <c r="K21" s="90" t="s">
        <v>122</v>
      </c>
      <c r="L21" s="84"/>
      <c r="M21" s="84"/>
      <c r="N21" s="84" t="s">
        <v>91</v>
      </c>
      <c r="O21" s="84">
        <v>-8</v>
      </c>
      <c r="P21" s="84" t="s">
        <v>88</v>
      </c>
    </row>
    <row r="22" spans="1:16" x14ac:dyDescent="0.35">
      <c r="A22" s="91">
        <v>45659</v>
      </c>
      <c r="B22" s="84">
        <v>23813</v>
      </c>
      <c r="C22" s="85">
        <v>226</v>
      </c>
      <c r="D22" s="86">
        <v>9.5999999999999992E-3</v>
      </c>
      <c r="E22" s="84" t="s">
        <v>80</v>
      </c>
      <c r="F22" s="84" t="s">
        <v>80</v>
      </c>
      <c r="G22" s="84">
        <v>0.92</v>
      </c>
      <c r="H22" s="92">
        <v>-6323</v>
      </c>
      <c r="I22" s="87">
        <v>10928</v>
      </c>
      <c r="J22" s="84"/>
      <c r="K22" s="84"/>
      <c r="L22" s="84"/>
      <c r="M22" s="84" t="s">
        <v>91</v>
      </c>
      <c r="N22" s="84" t="s">
        <v>91</v>
      </c>
      <c r="O22" s="84">
        <v>0</v>
      </c>
      <c r="P22" s="84" t="s">
        <v>80</v>
      </c>
    </row>
    <row r="23" spans="1:16" ht="29" x14ac:dyDescent="0.35">
      <c r="A23" s="91">
        <v>45666</v>
      </c>
      <c r="B23" s="84">
        <v>24005</v>
      </c>
      <c r="C23" s="85">
        <v>192</v>
      </c>
      <c r="D23" s="86">
        <v>8.0999999999999996E-3</v>
      </c>
      <c r="E23" s="84" t="s">
        <v>80</v>
      </c>
      <c r="F23" s="84" t="s">
        <v>80</v>
      </c>
      <c r="G23" s="84">
        <v>0.73</v>
      </c>
      <c r="H23" s="92">
        <v>-11042</v>
      </c>
      <c r="I23" s="87">
        <v>9254</v>
      </c>
      <c r="J23" s="84" t="s">
        <v>123</v>
      </c>
      <c r="K23" s="84" t="s">
        <v>124</v>
      </c>
      <c r="L23" s="84"/>
      <c r="M23" s="90" t="s">
        <v>125</v>
      </c>
      <c r="N23" s="84"/>
      <c r="O23" s="84">
        <v>0</v>
      </c>
      <c r="P23" s="84" t="s">
        <v>80</v>
      </c>
    </row>
    <row r="24" spans="1:16" ht="72.5" x14ac:dyDescent="0.35">
      <c r="A24" s="91">
        <v>45673</v>
      </c>
      <c r="B24" s="84">
        <v>23431</v>
      </c>
      <c r="C24" s="88">
        <v>-574</v>
      </c>
      <c r="D24" s="93">
        <v>-2.3900000000000001E-2</v>
      </c>
      <c r="E24" s="84" t="s">
        <v>88</v>
      </c>
      <c r="F24" s="84" t="s">
        <v>88</v>
      </c>
      <c r="G24" s="84">
        <v>0.73</v>
      </c>
      <c r="H24" s="92">
        <v>-14600</v>
      </c>
      <c r="I24" s="87">
        <v>17721</v>
      </c>
      <c r="J24" s="90" t="s">
        <v>126</v>
      </c>
      <c r="K24" s="90" t="s">
        <v>127</v>
      </c>
      <c r="L24" s="90" t="s">
        <v>128</v>
      </c>
      <c r="M24" s="90" t="s">
        <v>129</v>
      </c>
      <c r="N24" s="90" t="s">
        <v>130</v>
      </c>
      <c r="O24" s="84">
        <v>-4</v>
      </c>
      <c r="P24" s="84" t="s">
        <v>88</v>
      </c>
    </row>
    <row r="25" spans="1:16" ht="29" x14ac:dyDescent="0.35">
      <c r="A25" s="91">
        <v>45680</v>
      </c>
      <c r="B25" s="84">
        <v>23203</v>
      </c>
      <c r="C25" s="88">
        <f t="shared" ref="C25:C65" si="0">B25-B24</f>
        <v>-228</v>
      </c>
      <c r="D25" s="93">
        <f t="shared" ref="D25:D65" si="1">C25/B25</f>
        <v>-9.8263155626427609E-3</v>
      </c>
      <c r="E25" s="84" t="s">
        <v>88</v>
      </c>
      <c r="F25" s="84" t="s">
        <v>80</v>
      </c>
      <c r="G25" s="84">
        <v>0.79</v>
      </c>
      <c r="H25" s="92">
        <v>-25219</v>
      </c>
      <c r="I25" s="87">
        <v>25151</v>
      </c>
      <c r="J25" s="90" t="s">
        <v>131</v>
      </c>
      <c r="K25" s="88" t="s">
        <v>132</v>
      </c>
      <c r="L25" s="84"/>
      <c r="M25" s="84" t="s">
        <v>133</v>
      </c>
      <c r="N25" s="84" t="s">
        <v>83</v>
      </c>
      <c r="O25" s="84">
        <v>-3</v>
      </c>
      <c r="P25" s="84" t="s">
        <v>88</v>
      </c>
    </row>
    <row r="26" spans="1:16" x14ac:dyDescent="0.35">
      <c r="A26" s="91" t="s">
        <v>134</v>
      </c>
      <c r="B26" s="84">
        <v>23092</v>
      </c>
      <c r="C26" s="88">
        <f t="shared" si="0"/>
        <v>-111</v>
      </c>
      <c r="D26" s="93">
        <f t="shared" si="1"/>
        <v>-4.806859518447947E-3</v>
      </c>
      <c r="E26" s="84" t="s">
        <v>88</v>
      </c>
      <c r="F26" s="84" t="s">
        <v>80</v>
      </c>
      <c r="G26" s="84">
        <v>0.75</v>
      </c>
      <c r="H26" s="92">
        <v>-19746</v>
      </c>
      <c r="I26" s="87">
        <v>15175</v>
      </c>
      <c r="J26" s="84"/>
      <c r="K26" s="84" t="s">
        <v>135</v>
      </c>
      <c r="L26" s="84"/>
      <c r="M26" s="84" t="s">
        <v>136</v>
      </c>
      <c r="N26" s="84"/>
      <c r="O26" s="84">
        <v>-4</v>
      </c>
      <c r="P26" s="84" t="s">
        <v>88</v>
      </c>
    </row>
    <row r="27" spans="1:16" ht="116" x14ac:dyDescent="0.35">
      <c r="A27" s="91">
        <v>45694</v>
      </c>
      <c r="B27" s="84">
        <v>23508</v>
      </c>
      <c r="C27" s="88">
        <f t="shared" si="0"/>
        <v>416</v>
      </c>
      <c r="D27" s="93">
        <f t="shared" si="1"/>
        <v>1.7696103454143269E-2</v>
      </c>
      <c r="E27" s="84" t="s">
        <v>80</v>
      </c>
      <c r="F27" s="84" t="s">
        <v>81</v>
      </c>
      <c r="G27" s="84">
        <v>0.89</v>
      </c>
      <c r="H27" s="92">
        <v>-17106</v>
      </c>
      <c r="I27" s="87">
        <v>17415</v>
      </c>
      <c r="J27" s="90" t="s">
        <v>137</v>
      </c>
      <c r="K27" s="88" t="s">
        <v>138</v>
      </c>
      <c r="L27" s="90" t="s">
        <v>139</v>
      </c>
      <c r="M27" s="84" t="s">
        <v>140</v>
      </c>
      <c r="N27" s="84"/>
      <c r="O27" s="84">
        <v>2</v>
      </c>
      <c r="P27" s="84" t="s">
        <v>80</v>
      </c>
    </row>
    <row r="28" spans="1:16" ht="58" x14ac:dyDescent="0.35">
      <c r="A28" s="91">
        <v>45701</v>
      </c>
      <c r="B28" s="84">
        <v>23560</v>
      </c>
      <c r="C28" s="95">
        <f t="shared" si="0"/>
        <v>52</v>
      </c>
      <c r="D28" s="96">
        <f t="shared" si="1"/>
        <v>2.2071307300509336E-3</v>
      </c>
      <c r="E28" s="84" t="s">
        <v>80</v>
      </c>
      <c r="F28" s="84" t="s">
        <v>80</v>
      </c>
      <c r="G28" s="84">
        <v>0.67</v>
      </c>
      <c r="H28" s="92">
        <v>-8382</v>
      </c>
      <c r="I28" s="87">
        <v>5995</v>
      </c>
      <c r="J28" s="90" t="s">
        <v>141</v>
      </c>
      <c r="K28" s="97" t="s">
        <v>142</v>
      </c>
      <c r="L28" s="90" t="s">
        <v>143</v>
      </c>
      <c r="M28" s="90" t="s">
        <v>144</v>
      </c>
      <c r="N28" s="84" t="s">
        <v>140</v>
      </c>
      <c r="O28" s="84">
        <v>-1</v>
      </c>
      <c r="P28" s="84" t="s">
        <v>80</v>
      </c>
    </row>
    <row r="29" spans="1:16" ht="29" x14ac:dyDescent="0.35">
      <c r="A29" s="91">
        <v>45708</v>
      </c>
      <c r="B29" s="84">
        <v>22929</v>
      </c>
      <c r="C29" s="88">
        <f t="shared" si="0"/>
        <v>-631</v>
      </c>
      <c r="D29" s="93">
        <f t="shared" si="1"/>
        <v>-2.7519734833616818E-2</v>
      </c>
      <c r="E29" s="84" t="s">
        <v>88</v>
      </c>
      <c r="F29" s="84" t="s">
        <v>88</v>
      </c>
      <c r="G29" s="84">
        <v>0.64</v>
      </c>
      <c r="H29" s="92">
        <v>-19004</v>
      </c>
      <c r="I29" s="87">
        <v>18745</v>
      </c>
      <c r="J29" s="90" t="s">
        <v>145</v>
      </c>
      <c r="K29" s="97" t="s">
        <v>146</v>
      </c>
      <c r="L29" s="84"/>
      <c r="M29" s="84"/>
      <c r="N29" s="84" t="s">
        <v>91</v>
      </c>
      <c r="O29" s="84">
        <v>-6</v>
      </c>
      <c r="P29" s="84" t="s">
        <v>88</v>
      </c>
    </row>
    <row r="30" spans="1:16" ht="43.5" x14ac:dyDescent="0.35">
      <c r="A30" s="91">
        <v>45715</v>
      </c>
      <c r="B30" s="84">
        <v>22796</v>
      </c>
      <c r="C30" s="88">
        <f t="shared" si="0"/>
        <v>-133</v>
      </c>
      <c r="D30" s="93">
        <f t="shared" si="1"/>
        <v>-5.8343569047201267E-3</v>
      </c>
      <c r="E30" s="84" t="s">
        <v>88</v>
      </c>
      <c r="F30" s="84" t="s">
        <v>80</v>
      </c>
      <c r="G30" s="84">
        <v>0.74</v>
      </c>
      <c r="H30" s="92">
        <v>-7793</v>
      </c>
      <c r="I30" s="87">
        <v>16582</v>
      </c>
      <c r="J30" s="84"/>
      <c r="K30" s="97" t="s">
        <v>147</v>
      </c>
      <c r="L30" s="84"/>
      <c r="M30" s="84"/>
      <c r="N30" s="90" t="s">
        <v>148</v>
      </c>
      <c r="O30" s="84">
        <v>-6</v>
      </c>
      <c r="P30" s="84" t="s">
        <v>88</v>
      </c>
    </row>
    <row r="31" spans="1:16" ht="87" x14ac:dyDescent="0.35">
      <c r="A31" s="91">
        <v>45722</v>
      </c>
      <c r="B31" s="84">
        <v>22125</v>
      </c>
      <c r="C31" s="88">
        <f t="shared" si="0"/>
        <v>-671</v>
      </c>
      <c r="D31" s="93">
        <f t="shared" si="1"/>
        <v>-3.0327683615819209E-2</v>
      </c>
      <c r="E31" s="84" t="s">
        <v>88</v>
      </c>
      <c r="F31" s="84" t="s">
        <v>88</v>
      </c>
      <c r="G31" s="84">
        <v>0.66</v>
      </c>
      <c r="H31" s="92">
        <v>-22011</v>
      </c>
      <c r="I31" s="87">
        <v>22252</v>
      </c>
      <c r="J31" s="84"/>
      <c r="K31" s="84"/>
      <c r="L31" s="90" t="s">
        <v>149</v>
      </c>
      <c r="M31" s="84"/>
      <c r="N31" s="90" t="s">
        <v>150</v>
      </c>
      <c r="O31" s="84">
        <v>-8</v>
      </c>
      <c r="P31" s="84" t="s">
        <v>88</v>
      </c>
    </row>
    <row r="32" spans="1:16" ht="43.5" x14ac:dyDescent="0.35">
      <c r="A32" s="91">
        <v>45729</v>
      </c>
      <c r="B32" s="84">
        <v>22552</v>
      </c>
      <c r="C32" s="85">
        <f t="shared" si="0"/>
        <v>427</v>
      </c>
      <c r="D32" s="86">
        <f t="shared" si="1"/>
        <v>1.8934019155728982E-2</v>
      </c>
      <c r="E32" s="84" t="s">
        <v>80</v>
      </c>
      <c r="F32" s="84" t="s">
        <v>81</v>
      </c>
      <c r="G32" s="84">
        <v>1.0900000000000001</v>
      </c>
      <c r="H32" s="92">
        <v>-15502</v>
      </c>
      <c r="I32" s="87">
        <v>20951</v>
      </c>
      <c r="J32" s="90" t="s">
        <v>151</v>
      </c>
      <c r="K32" s="90" t="s">
        <v>152</v>
      </c>
      <c r="L32" s="84"/>
      <c r="M32" s="84"/>
      <c r="N32" s="84"/>
      <c r="O32" s="84"/>
      <c r="P32" s="84"/>
    </row>
    <row r="33" spans="1:16" ht="29" x14ac:dyDescent="0.35">
      <c r="A33" s="91">
        <v>45736</v>
      </c>
      <c r="B33" s="84">
        <v>22397</v>
      </c>
      <c r="C33" s="88">
        <f t="shared" si="0"/>
        <v>-155</v>
      </c>
      <c r="D33" s="93">
        <f t="shared" si="1"/>
        <v>-6.9205697191588155E-3</v>
      </c>
      <c r="E33" s="84" t="s">
        <v>80</v>
      </c>
      <c r="F33" s="84" t="s">
        <v>80</v>
      </c>
      <c r="G33" s="84">
        <v>0.99</v>
      </c>
      <c r="H33" s="92">
        <v>-5730</v>
      </c>
      <c r="I33" s="87">
        <v>5499</v>
      </c>
      <c r="J33" s="90" t="s">
        <v>153</v>
      </c>
      <c r="K33" s="84"/>
      <c r="L33" s="90" t="s">
        <v>154</v>
      </c>
      <c r="M33" s="84"/>
      <c r="N33" s="84"/>
      <c r="O33" s="84"/>
      <c r="P33" s="84"/>
    </row>
    <row r="34" spans="1:16" x14ac:dyDescent="0.35">
      <c r="A34" s="91">
        <v>45743</v>
      </c>
      <c r="B34" s="84">
        <v>23350</v>
      </c>
      <c r="C34" s="85">
        <f t="shared" si="0"/>
        <v>953</v>
      </c>
      <c r="D34" s="86">
        <f t="shared" si="1"/>
        <v>4.0813704496788006E-2</v>
      </c>
      <c r="E34" s="84" t="s">
        <v>81</v>
      </c>
      <c r="F34" s="84" t="s">
        <v>81</v>
      </c>
      <c r="G34" s="84">
        <v>1.0900000000000001</v>
      </c>
      <c r="H34" s="87">
        <v>6588</v>
      </c>
      <c r="I34" s="87">
        <v>3831</v>
      </c>
      <c r="J34" s="84" t="s">
        <v>155</v>
      </c>
      <c r="K34" s="84"/>
      <c r="L34" s="84" t="s">
        <v>156</v>
      </c>
      <c r="M34" s="84" t="s">
        <v>105</v>
      </c>
      <c r="N34" s="84"/>
      <c r="O34" s="84">
        <v>7</v>
      </c>
      <c r="P34" s="84" t="s">
        <v>81</v>
      </c>
    </row>
    <row r="35" spans="1:16" ht="87" x14ac:dyDescent="0.35">
      <c r="A35" s="91">
        <v>45750</v>
      </c>
      <c r="B35" s="84">
        <v>23519</v>
      </c>
      <c r="C35" s="85">
        <f t="shared" si="0"/>
        <v>169</v>
      </c>
      <c r="D35" s="86">
        <f t="shared" si="1"/>
        <v>7.1856796632509884E-3</v>
      </c>
      <c r="E35" s="84" t="s">
        <v>81</v>
      </c>
      <c r="F35" s="84" t="s">
        <v>80</v>
      </c>
      <c r="G35" s="84">
        <v>0.78</v>
      </c>
      <c r="H35" s="87">
        <v>17426</v>
      </c>
      <c r="I35" s="92">
        <v>6797</v>
      </c>
      <c r="J35" s="84" t="s">
        <v>157</v>
      </c>
      <c r="K35" s="84"/>
      <c r="L35" s="90" t="s">
        <v>158</v>
      </c>
      <c r="M35" s="84" t="s">
        <v>105</v>
      </c>
      <c r="N35" s="84" t="s">
        <v>109</v>
      </c>
      <c r="O35" s="84">
        <v>3</v>
      </c>
      <c r="P35" s="84" t="s">
        <v>77</v>
      </c>
    </row>
    <row r="36" spans="1:16" ht="72.5" x14ac:dyDescent="0.35">
      <c r="A36" s="91">
        <v>45756</v>
      </c>
      <c r="B36" s="84">
        <v>22904</v>
      </c>
      <c r="C36" s="88">
        <f t="shared" si="0"/>
        <v>-615</v>
      </c>
      <c r="D36" s="93">
        <f t="shared" si="1"/>
        <v>-2.6851205029689136E-2</v>
      </c>
      <c r="E36" s="84" t="s">
        <v>80</v>
      </c>
      <c r="F36" s="84" t="s">
        <v>88</v>
      </c>
      <c r="G36" s="94">
        <v>0.6</v>
      </c>
      <c r="H36" s="92">
        <v>-10247</v>
      </c>
      <c r="I36" s="87">
        <v>7353</v>
      </c>
      <c r="J36" s="90" t="s">
        <v>159</v>
      </c>
      <c r="K36" s="90" t="s">
        <v>160</v>
      </c>
      <c r="L36" s="90" t="s">
        <v>161</v>
      </c>
      <c r="M36" s="90" t="s">
        <v>162</v>
      </c>
      <c r="N36" s="90" t="s">
        <v>163</v>
      </c>
      <c r="O36" s="84">
        <v>-6</v>
      </c>
      <c r="P36" s="84" t="s">
        <v>88</v>
      </c>
    </row>
    <row r="37" spans="1:16" x14ac:dyDescent="0.35">
      <c r="A37" s="91">
        <v>45764</v>
      </c>
      <c r="B37" s="84">
        <v>22828</v>
      </c>
      <c r="C37" s="88">
        <f t="shared" si="0"/>
        <v>-76</v>
      </c>
      <c r="D37" s="93">
        <f t="shared" si="1"/>
        <v>-3.3292447871035571E-3</v>
      </c>
      <c r="E37" s="84" t="s">
        <v>80</v>
      </c>
      <c r="F37" s="84" t="s">
        <v>81</v>
      </c>
      <c r="G37" s="94">
        <v>0.8</v>
      </c>
      <c r="H37" s="92">
        <v>-20911</v>
      </c>
      <c r="I37" s="87">
        <v>21956</v>
      </c>
      <c r="J37" s="84" t="s">
        <v>164</v>
      </c>
      <c r="K37" s="84"/>
      <c r="L37" s="84"/>
      <c r="M37" s="84"/>
      <c r="N37" s="84"/>
      <c r="O37" s="84"/>
      <c r="P37" s="84"/>
    </row>
    <row r="38" spans="1:16" ht="29" x14ac:dyDescent="0.35">
      <c r="A38" s="91">
        <v>45771</v>
      </c>
      <c r="B38" s="84">
        <v>23851</v>
      </c>
      <c r="C38" s="85">
        <f t="shared" si="0"/>
        <v>1023</v>
      </c>
      <c r="D38" s="86">
        <f t="shared" si="1"/>
        <v>4.2891283384344475E-2</v>
      </c>
      <c r="E38" s="84" t="s">
        <v>81</v>
      </c>
      <c r="F38" s="84" t="s">
        <v>81</v>
      </c>
      <c r="G38" s="84">
        <v>1.1499999999999999</v>
      </c>
      <c r="H38" s="87">
        <v>14670</v>
      </c>
      <c r="I38" s="92">
        <v>-6471</v>
      </c>
      <c r="J38" s="90" t="s">
        <v>165</v>
      </c>
      <c r="K38" s="84"/>
      <c r="L38" s="84"/>
      <c r="M38" s="90" t="s">
        <v>166</v>
      </c>
      <c r="N38" s="84"/>
      <c r="O38" s="84">
        <v>7</v>
      </c>
      <c r="P38" s="84" t="s">
        <v>81</v>
      </c>
    </row>
    <row r="39" spans="1:16" x14ac:dyDescent="0.35">
      <c r="A39" s="91" t="s">
        <v>167</v>
      </c>
      <c r="B39" s="84">
        <v>24039</v>
      </c>
      <c r="C39" s="85">
        <f t="shared" si="0"/>
        <v>188</v>
      </c>
      <c r="D39" s="86">
        <f t="shared" si="1"/>
        <v>7.8206248180040759E-3</v>
      </c>
      <c r="E39" s="84" t="s">
        <v>81</v>
      </c>
      <c r="F39" s="84" t="s">
        <v>81</v>
      </c>
      <c r="G39" s="94">
        <v>0.7</v>
      </c>
      <c r="H39" s="87">
        <v>17796</v>
      </c>
      <c r="I39" s="87">
        <v>1132</v>
      </c>
      <c r="J39" s="84"/>
      <c r="K39" s="88" t="s">
        <v>168</v>
      </c>
      <c r="L39" s="84"/>
      <c r="M39" s="84"/>
      <c r="N39" s="84"/>
      <c r="O39" s="84">
        <v>1</v>
      </c>
      <c r="P39" s="84" t="s">
        <v>80</v>
      </c>
    </row>
    <row r="40" spans="1:16" ht="58" x14ac:dyDescent="0.35">
      <c r="A40" s="91">
        <v>45724</v>
      </c>
      <c r="B40" s="84">
        <v>24346</v>
      </c>
      <c r="C40" s="85">
        <f t="shared" si="0"/>
        <v>307</v>
      </c>
      <c r="D40" s="86">
        <f t="shared" si="1"/>
        <v>1.2609874312001971E-2</v>
      </c>
      <c r="E40" s="84" t="s">
        <v>81</v>
      </c>
      <c r="F40" s="84" t="s">
        <v>80</v>
      </c>
      <c r="G40" s="84">
        <v>0.68</v>
      </c>
      <c r="H40" s="87">
        <v>7680</v>
      </c>
      <c r="I40" s="87">
        <v>9269</v>
      </c>
      <c r="J40" s="84" t="s">
        <v>169</v>
      </c>
      <c r="K40" s="90" t="s">
        <v>170</v>
      </c>
      <c r="L40" s="90" t="s">
        <v>171</v>
      </c>
      <c r="M40" s="90" t="s">
        <v>172</v>
      </c>
      <c r="N40" s="84"/>
      <c r="O40" s="84">
        <v>2</v>
      </c>
      <c r="P40" s="84" t="s">
        <v>80</v>
      </c>
    </row>
    <row r="41" spans="1:16" ht="43.5" x14ac:dyDescent="0.35">
      <c r="A41" s="91">
        <v>45792</v>
      </c>
      <c r="B41" s="84">
        <v>24008</v>
      </c>
      <c r="C41" s="88">
        <f t="shared" si="0"/>
        <v>-338</v>
      </c>
      <c r="D41" s="93">
        <f t="shared" si="1"/>
        <v>-1.4078640453182273E-2</v>
      </c>
      <c r="E41" s="84" t="s">
        <v>80</v>
      </c>
      <c r="F41" s="84" t="s">
        <v>88</v>
      </c>
      <c r="G41" s="84">
        <v>0.73</v>
      </c>
      <c r="H41" s="87">
        <v>5087</v>
      </c>
      <c r="I41" s="87">
        <v>10451</v>
      </c>
      <c r="J41" s="90" t="s">
        <v>173</v>
      </c>
      <c r="K41" s="84" t="s">
        <v>174</v>
      </c>
      <c r="L41" s="90" t="s">
        <v>175</v>
      </c>
      <c r="M41" s="84"/>
      <c r="N41" s="84"/>
      <c r="O41" s="84">
        <v>-2</v>
      </c>
      <c r="P41" s="84" t="s">
        <v>80</v>
      </c>
    </row>
    <row r="42" spans="1:16" ht="43.5" x14ac:dyDescent="0.35">
      <c r="A42" s="91">
        <v>45799</v>
      </c>
      <c r="B42" s="84">
        <v>25019</v>
      </c>
      <c r="C42" s="85">
        <f t="shared" si="0"/>
        <v>1011</v>
      </c>
      <c r="D42" s="93">
        <f t="shared" si="1"/>
        <v>4.040928894040529E-2</v>
      </c>
      <c r="E42" s="84" t="s">
        <v>81</v>
      </c>
      <c r="F42" s="84" t="s">
        <v>81</v>
      </c>
      <c r="G42" s="84">
        <v>0.76</v>
      </c>
      <c r="H42" s="87">
        <v>15925</v>
      </c>
      <c r="I42" s="87">
        <v>9557</v>
      </c>
      <c r="J42" s="90" t="s">
        <v>176</v>
      </c>
      <c r="K42" s="84"/>
      <c r="L42" s="84" t="s">
        <v>177</v>
      </c>
      <c r="M42" s="84"/>
      <c r="N42" s="84"/>
      <c r="O42" s="84">
        <v>6</v>
      </c>
      <c r="P42" s="84" t="s">
        <v>81</v>
      </c>
    </row>
    <row r="43" spans="1:16" x14ac:dyDescent="0.35">
      <c r="A43" s="91">
        <v>45806</v>
      </c>
      <c r="B43" s="84">
        <v>24853</v>
      </c>
      <c r="C43" s="88">
        <f t="shared" si="0"/>
        <v>-166</v>
      </c>
      <c r="D43" s="93">
        <f t="shared" si="1"/>
        <v>-6.6792741318955455E-3</v>
      </c>
      <c r="E43" s="84" t="s">
        <v>80</v>
      </c>
      <c r="F43" s="84" t="s">
        <v>80</v>
      </c>
      <c r="G43" s="84">
        <v>1.02</v>
      </c>
      <c r="H43" s="92">
        <v>-11591</v>
      </c>
      <c r="I43" s="92">
        <v>11199</v>
      </c>
      <c r="J43" s="84"/>
      <c r="K43" s="84"/>
      <c r="L43" s="84"/>
      <c r="M43" s="84"/>
      <c r="N43" s="84"/>
      <c r="O43" s="84">
        <v>-2</v>
      </c>
      <c r="P43" s="84" t="s">
        <v>80</v>
      </c>
    </row>
    <row r="44" spans="1:16" ht="43.5" x14ac:dyDescent="0.35">
      <c r="A44" s="91">
        <v>45813</v>
      </c>
      <c r="B44" s="84">
        <v>24751</v>
      </c>
      <c r="C44" s="88">
        <f t="shared" si="0"/>
        <v>-102</v>
      </c>
      <c r="D44" s="93">
        <f t="shared" si="1"/>
        <v>-4.1210456143186136E-3</v>
      </c>
      <c r="E44" s="84" t="s">
        <v>80</v>
      </c>
      <c r="F44" s="84" t="s">
        <v>80</v>
      </c>
      <c r="G44" s="84">
        <v>0.59</v>
      </c>
      <c r="H44" s="87">
        <v>6031</v>
      </c>
      <c r="I44" s="87">
        <v>24049</v>
      </c>
      <c r="J44" s="90" t="s">
        <v>178</v>
      </c>
      <c r="K44" s="84"/>
      <c r="L44" s="90" t="s">
        <v>179</v>
      </c>
      <c r="M44" s="84"/>
      <c r="N44" s="84"/>
      <c r="O44" s="84">
        <v>2</v>
      </c>
      <c r="P44" s="84" t="s">
        <v>80</v>
      </c>
    </row>
    <row r="45" spans="1:16" ht="58" x14ac:dyDescent="0.35">
      <c r="A45" s="91">
        <v>45820</v>
      </c>
      <c r="B45" s="84">
        <v>25003</v>
      </c>
      <c r="C45" s="85">
        <f t="shared" si="0"/>
        <v>252</v>
      </c>
      <c r="D45" s="86">
        <f t="shared" si="1"/>
        <v>1.0078790545134584E-2</v>
      </c>
      <c r="E45" s="84" t="s">
        <v>80</v>
      </c>
      <c r="F45" s="84" t="s">
        <v>81</v>
      </c>
      <c r="G45" s="84">
        <v>0.97</v>
      </c>
      <c r="H45" s="92">
        <v>-3566</v>
      </c>
      <c r="I45" s="87">
        <v>25513</v>
      </c>
      <c r="J45" s="85" t="s">
        <v>180</v>
      </c>
      <c r="K45" s="90" t="s">
        <v>181</v>
      </c>
      <c r="L45" s="90" t="s">
        <v>182</v>
      </c>
      <c r="M45" s="84" t="s">
        <v>105</v>
      </c>
      <c r="N45" s="84"/>
      <c r="O45" s="84">
        <v>2</v>
      </c>
      <c r="P45" s="84" t="s">
        <v>80</v>
      </c>
    </row>
    <row r="46" spans="1:16" ht="58" x14ac:dyDescent="0.35">
      <c r="A46" s="91">
        <v>45827</v>
      </c>
      <c r="B46" s="84">
        <v>24718</v>
      </c>
      <c r="C46" s="88">
        <f t="shared" si="0"/>
        <v>-285</v>
      </c>
      <c r="D46" s="93">
        <f t="shared" si="1"/>
        <v>-1.1530059066267497E-2</v>
      </c>
      <c r="E46" s="84" t="s">
        <v>80</v>
      </c>
      <c r="F46" s="84" t="s">
        <v>77</v>
      </c>
      <c r="G46" s="84">
        <v>0.73</v>
      </c>
      <c r="H46" s="92">
        <v>-1247</v>
      </c>
      <c r="I46" s="87">
        <v>18637</v>
      </c>
      <c r="J46" s="90" t="s">
        <v>183</v>
      </c>
      <c r="K46" s="84" t="s">
        <v>184</v>
      </c>
      <c r="L46" s="90" t="s">
        <v>185</v>
      </c>
      <c r="M46" s="84" t="s">
        <v>83</v>
      </c>
      <c r="N46" s="84"/>
      <c r="O46" s="84">
        <v>-2</v>
      </c>
      <c r="P46" s="84" t="s">
        <v>80</v>
      </c>
    </row>
    <row r="47" spans="1:16" ht="29" x14ac:dyDescent="0.35">
      <c r="A47" s="91">
        <v>45834</v>
      </c>
      <c r="B47" s="84">
        <v>25112</v>
      </c>
      <c r="C47" s="85">
        <f t="shared" si="0"/>
        <v>394</v>
      </c>
      <c r="D47" s="86">
        <f t="shared" si="1"/>
        <v>1.5689710098757567E-2</v>
      </c>
      <c r="E47" s="84" t="s">
        <v>80</v>
      </c>
      <c r="F47" s="84" t="s">
        <v>81</v>
      </c>
      <c r="G47" s="84">
        <v>1.1299999999999999</v>
      </c>
      <c r="H47" s="87">
        <v>8710</v>
      </c>
      <c r="I47" s="87">
        <v>12636</v>
      </c>
      <c r="J47" s="90" t="s">
        <v>186</v>
      </c>
      <c r="K47" s="84"/>
      <c r="L47" s="84"/>
      <c r="M47" s="84"/>
      <c r="N47" s="84"/>
      <c r="O47" s="84">
        <v>4</v>
      </c>
      <c r="P47" s="84" t="s">
        <v>81</v>
      </c>
    </row>
    <row r="48" spans="1:16" ht="116" x14ac:dyDescent="0.35">
      <c r="A48" s="91">
        <v>45841</v>
      </c>
      <c r="B48" s="84">
        <v>25638</v>
      </c>
      <c r="C48" s="85">
        <f t="shared" si="0"/>
        <v>526</v>
      </c>
      <c r="D48" s="86">
        <f t="shared" si="1"/>
        <v>2.0516420937670646E-2</v>
      </c>
      <c r="E48" s="84" t="s">
        <v>81</v>
      </c>
      <c r="F48" s="84" t="s">
        <v>81</v>
      </c>
      <c r="G48" s="84">
        <v>1.19</v>
      </c>
      <c r="H48" s="87">
        <v>4423</v>
      </c>
      <c r="I48" s="87">
        <v>12390</v>
      </c>
      <c r="J48" s="90" t="s">
        <v>187</v>
      </c>
      <c r="K48" s="84"/>
      <c r="L48" s="90" t="s">
        <v>188</v>
      </c>
      <c r="M48" s="90" t="s">
        <v>189</v>
      </c>
      <c r="N48" s="84" t="s">
        <v>83</v>
      </c>
      <c r="O48" s="84">
        <v>9</v>
      </c>
      <c r="P48" s="84" t="s">
        <v>81</v>
      </c>
    </row>
    <row r="49" spans="1:16" ht="43.5" x14ac:dyDescent="0.35">
      <c r="A49" s="91">
        <v>45848</v>
      </c>
      <c r="B49" s="84">
        <v>25461</v>
      </c>
      <c r="C49" s="88">
        <f t="shared" si="0"/>
        <v>-177</v>
      </c>
      <c r="D49" s="93">
        <f t="shared" si="1"/>
        <v>-6.9518086485212682E-3</v>
      </c>
      <c r="E49" s="84" t="s">
        <v>81</v>
      </c>
      <c r="F49" s="84" t="s">
        <v>80</v>
      </c>
      <c r="G49" s="84">
        <v>0.77</v>
      </c>
      <c r="H49" s="92">
        <v>-5844</v>
      </c>
      <c r="I49" s="87">
        <v>8291</v>
      </c>
      <c r="J49" s="90" t="s">
        <v>190</v>
      </c>
      <c r="K49" s="88" t="s">
        <v>191</v>
      </c>
      <c r="L49" s="84"/>
      <c r="M49" s="84"/>
      <c r="N49" s="84"/>
      <c r="O49" s="84">
        <v>0</v>
      </c>
      <c r="P49" s="84" t="s">
        <v>80</v>
      </c>
    </row>
    <row r="50" spans="1:16" ht="29" x14ac:dyDescent="0.35">
      <c r="A50" s="91">
        <v>45855</v>
      </c>
      <c r="B50" s="84">
        <v>25150</v>
      </c>
      <c r="C50" s="88">
        <f t="shared" si="0"/>
        <v>-311</v>
      </c>
      <c r="D50" s="93">
        <f t="shared" si="1"/>
        <v>-1.2365805168986084E-2</v>
      </c>
      <c r="E50" s="84" t="s">
        <v>76</v>
      </c>
      <c r="F50" s="84" t="s">
        <v>88</v>
      </c>
      <c r="G50" s="84">
        <v>0.55000000000000004</v>
      </c>
      <c r="H50" s="92">
        <v>-4511</v>
      </c>
      <c r="I50" s="87">
        <v>8291</v>
      </c>
      <c r="J50" s="84"/>
      <c r="K50" s="90" t="s">
        <v>192</v>
      </c>
      <c r="L50" s="84" t="s">
        <v>193</v>
      </c>
      <c r="M50" s="84"/>
      <c r="N50" s="84" t="s">
        <v>194</v>
      </c>
      <c r="O50" s="84">
        <v>-8</v>
      </c>
      <c r="P50" s="84" t="s">
        <v>88</v>
      </c>
    </row>
    <row r="51" spans="1:16" ht="43.5" x14ac:dyDescent="0.35">
      <c r="A51" s="91">
        <v>45862</v>
      </c>
      <c r="B51" s="84">
        <v>24968</v>
      </c>
      <c r="C51" s="88">
        <f t="shared" si="0"/>
        <v>-182</v>
      </c>
      <c r="D51" s="93">
        <f t="shared" si="1"/>
        <v>-7.2893303428388338E-3</v>
      </c>
      <c r="E51" s="84" t="s">
        <v>76</v>
      </c>
      <c r="F51" s="84" t="s">
        <v>88</v>
      </c>
      <c r="G51" s="94">
        <v>0.6</v>
      </c>
      <c r="H51" s="92">
        <v>-6672</v>
      </c>
      <c r="I51" s="87">
        <v>9491</v>
      </c>
      <c r="J51" s="84" t="s">
        <v>195</v>
      </c>
      <c r="K51" s="84"/>
      <c r="L51" s="90" t="s">
        <v>196</v>
      </c>
      <c r="M51" s="84"/>
      <c r="N51" s="84"/>
      <c r="O51" s="84">
        <v>-4</v>
      </c>
      <c r="P51" s="84" t="s">
        <v>88</v>
      </c>
    </row>
    <row r="52" spans="1:16" ht="72.5" x14ac:dyDescent="0.35">
      <c r="A52" s="91">
        <v>45869</v>
      </c>
      <c r="B52" s="84">
        <v>24837</v>
      </c>
      <c r="C52" s="88">
        <f t="shared" si="0"/>
        <v>-131</v>
      </c>
      <c r="D52" s="93">
        <f t="shared" si="1"/>
        <v>-5.2743890163868424E-3</v>
      </c>
      <c r="E52" s="84" t="s">
        <v>88</v>
      </c>
      <c r="F52" s="84" t="s">
        <v>88</v>
      </c>
      <c r="G52" s="84">
        <v>0.57999999999999996</v>
      </c>
      <c r="H52" s="92">
        <v>-13553</v>
      </c>
      <c r="I52" s="87">
        <v>17932</v>
      </c>
      <c r="J52" s="84"/>
      <c r="K52" s="84"/>
      <c r="L52" s="90" t="s">
        <v>197</v>
      </c>
      <c r="M52" s="84"/>
      <c r="N52" s="84" t="s">
        <v>83</v>
      </c>
      <c r="O52" s="84">
        <v>-6</v>
      </c>
      <c r="P52" s="84" t="s">
        <v>88</v>
      </c>
    </row>
    <row r="53" spans="1:16" ht="29" x14ac:dyDescent="0.35">
      <c r="A53" s="91">
        <v>45876</v>
      </c>
      <c r="B53" s="84">
        <v>24565</v>
      </c>
      <c r="C53" s="88">
        <f t="shared" si="0"/>
        <v>-272</v>
      </c>
      <c r="D53" s="93">
        <f t="shared" si="1"/>
        <v>-1.1072664359861591E-2</v>
      </c>
      <c r="E53" s="84" t="s">
        <v>88</v>
      </c>
      <c r="F53" s="84" t="s">
        <v>88</v>
      </c>
      <c r="G53" s="84">
        <v>0.56999999999999995</v>
      </c>
      <c r="H53" s="92">
        <v>-20524</v>
      </c>
      <c r="I53" s="87">
        <v>24300</v>
      </c>
      <c r="J53" s="84" t="s">
        <v>198</v>
      </c>
      <c r="K53" s="90" t="s">
        <v>199</v>
      </c>
      <c r="L53" s="90" t="s">
        <v>200</v>
      </c>
      <c r="M53" s="84"/>
      <c r="N53" s="90" t="s">
        <v>201</v>
      </c>
      <c r="O53" s="84">
        <v>-8</v>
      </c>
      <c r="P53" s="84" t="s">
        <v>88</v>
      </c>
    </row>
    <row r="54" spans="1:16" ht="29" x14ac:dyDescent="0.35">
      <c r="A54" s="91">
        <v>45883</v>
      </c>
      <c r="B54" s="84">
        <v>24363</v>
      </c>
      <c r="C54" s="88">
        <f t="shared" si="0"/>
        <v>-202</v>
      </c>
      <c r="D54" s="93">
        <f t="shared" si="1"/>
        <v>-8.2912613389155686E-3</v>
      </c>
      <c r="E54" s="84" t="s">
        <v>88</v>
      </c>
      <c r="F54" s="84" t="s">
        <v>88</v>
      </c>
      <c r="G54" s="84">
        <v>0.48</v>
      </c>
      <c r="H54" s="92">
        <v>-10652</v>
      </c>
      <c r="I54" s="87">
        <v>33609</v>
      </c>
      <c r="J54" s="84"/>
      <c r="K54" s="84" t="s">
        <v>202</v>
      </c>
      <c r="L54" s="90" t="s">
        <v>203</v>
      </c>
      <c r="M54" s="84"/>
      <c r="N54" s="84"/>
      <c r="O54" s="84">
        <v>-7</v>
      </c>
      <c r="P54" s="84" t="s">
        <v>88</v>
      </c>
    </row>
    <row r="55" spans="1:16" x14ac:dyDescent="0.35">
      <c r="A55" s="91">
        <v>45890</v>
      </c>
      <c r="B55" s="84">
        <v>24631</v>
      </c>
      <c r="C55" s="85">
        <f t="shared" si="0"/>
        <v>268</v>
      </c>
      <c r="D55" s="86">
        <f t="shared" si="1"/>
        <v>1.0880597620884251E-2</v>
      </c>
      <c r="E55" s="84" t="s">
        <v>80</v>
      </c>
      <c r="F55" s="84" t="s">
        <v>81</v>
      </c>
      <c r="G55" s="84">
        <v>0.88</v>
      </c>
      <c r="H55" s="92">
        <v>-10173</v>
      </c>
      <c r="I55" s="87">
        <v>19000</v>
      </c>
      <c r="J55" s="84" t="s">
        <v>204</v>
      </c>
      <c r="K55" s="84"/>
      <c r="L55" s="90" t="s">
        <v>205</v>
      </c>
      <c r="M55" s="84"/>
      <c r="N55" s="84"/>
      <c r="O55" s="84">
        <v>2</v>
      </c>
      <c r="P55" s="84" t="s">
        <v>80</v>
      </c>
    </row>
    <row r="56" spans="1:16" ht="29" x14ac:dyDescent="0.35">
      <c r="A56" s="91">
        <v>45897</v>
      </c>
      <c r="B56" s="84">
        <v>24870</v>
      </c>
      <c r="C56" s="85">
        <f t="shared" si="0"/>
        <v>239</v>
      </c>
      <c r="D56" s="86">
        <f t="shared" si="1"/>
        <v>9.6099718536389218E-3</v>
      </c>
      <c r="E56" s="84" t="s">
        <v>80</v>
      </c>
      <c r="F56" s="84" t="s">
        <v>88</v>
      </c>
      <c r="G56" s="84">
        <v>0.62</v>
      </c>
      <c r="H56" s="92">
        <v>-1560</v>
      </c>
      <c r="I56" s="87">
        <v>10388</v>
      </c>
      <c r="J56" s="90" t="s">
        <v>206</v>
      </c>
      <c r="K56" s="90" t="s">
        <v>207</v>
      </c>
      <c r="L56" s="90" t="s">
        <v>208</v>
      </c>
      <c r="M56" s="84" t="s">
        <v>209</v>
      </c>
      <c r="N56" s="84" t="s">
        <v>105</v>
      </c>
      <c r="O56" s="84">
        <v>0</v>
      </c>
      <c r="P56" s="84" t="s">
        <v>80</v>
      </c>
    </row>
    <row r="57" spans="1:16" ht="87" x14ac:dyDescent="0.35">
      <c r="A57" s="91">
        <v>45902</v>
      </c>
      <c r="B57" s="84">
        <v>24427</v>
      </c>
      <c r="C57" s="88">
        <f t="shared" si="0"/>
        <v>-443</v>
      </c>
      <c r="D57" s="93">
        <f t="shared" si="1"/>
        <v>-1.8135669545994187E-2</v>
      </c>
      <c r="E57" s="84" t="s">
        <v>88</v>
      </c>
      <c r="F57" s="84" t="s">
        <v>88</v>
      </c>
      <c r="G57" s="84">
        <v>0.54</v>
      </c>
      <c r="H57" s="92">
        <v>-21152</v>
      </c>
      <c r="I57" s="87">
        <v>28645</v>
      </c>
      <c r="J57" s="90" t="s">
        <v>210</v>
      </c>
      <c r="K57" s="84" t="s">
        <v>211</v>
      </c>
      <c r="L57" s="90" t="s">
        <v>212</v>
      </c>
      <c r="M57" s="84"/>
      <c r="N57" s="84"/>
      <c r="O57" s="84">
        <v>-6</v>
      </c>
      <c r="P57" s="84" t="s">
        <v>88</v>
      </c>
    </row>
    <row r="58" spans="1:16" ht="29" x14ac:dyDescent="0.35">
      <c r="A58" s="91">
        <v>45909</v>
      </c>
      <c r="B58" s="84">
        <v>24741</v>
      </c>
      <c r="C58" s="85">
        <f t="shared" si="0"/>
        <v>314</v>
      </c>
      <c r="D58" s="86">
        <f t="shared" si="1"/>
        <v>1.2691483771876642E-2</v>
      </c>
      <c r="E58" s="84" t="s">
        <v>80</v>
      </c>
      <c r="F58" s="84" t="s">
        <v>80</v>
      </c>
      <c r="G58" s="84">
        <v>0.77</v>
      </c>
      <c r="H58" s="92">
        <v>-5667</v>
      </c>
      <c r="I58" s="87">
        <v>13444</v>
      </c>
      <c r="J58" s="90" t="s">
        <v>213</v>
      </c>
      <c r="K58" s="84" t="s">
        <v>214</v>
      </c>
      <c r="L58" s="90" t="s">
        <v>215</v>
      </c>
      <c r="M58" s="84"/>
      <c r="N58" s="84"/>
      <c r="O58" s="84">
        <v>1</v>
      </c>
      <c r="P58" s="84" t="s">
        <v>80</v>
      </c>
    </row>
    <row r="59" spans="1:16" ht="58" x14ac:dyDescent="0.35">
      <c r="A59" s="91">
        <v>45916</v>
      </c>
      <c r="B59" s="84">
        <v>25114</v>
      </c>
      <c r="C59" s="85">
        <f t="shared" si="0"/>
        <v>373</v>
      </c>
      <c r="D59" s="86">
        <f t="shared" si="1"/>
        <v>1.4852273632237E-2</v>
      </c>
      <c r="E59" s="84" t="s">
        <v>81</v>
      </c>
      <c r="F59" s="84" t="s">
        <v>81</v>
      </c>
      <c r="G59" s="84">
        <v>1.32</v>
      </c>
      <c r="H59" s="92">
        <v>-3577</v>
      </c>
      <c r="I59" s="87">
        <v>13703</v>
      </c>
      <c r="J59" s="90" t="s">
        <v>216</v>
      </c>
      <c r="K59" s="84"/>
      <c r="L59" s="90" t="s">
        <v>217</v>
      </c>
      <c r="M59" s="84" t="s">
        <v>218</v>
      </c>
      <c r="N59" s="84"/>
      <c r="O59" s="84">
        <v>6</v>
      </c>
      <c r="P59" s="84" t="s">
        <v>81</v>
      </c>
    </row>
    <row r="60" spans="1:16" ht="29" x14ac:dyDescent="0.35">
      <c r="A60" s="91">
        <v>45923</v>
      </c>
      <c r="B60" s="84">
        <v>25327</v>
      </c>
      <c r="C60" s="85">
        <f t="shared" si="0"/>
        <v>213</v>
      </c>
      <c r="D60" s="86">
        <f t="shared" si="1"/>
        <v>8.4099972361511427E-3</v>
      </c>
      <c r="E60" s="84" t="s">
        <v>81</v>
      </c>
      <c r="F60" s="84" t="s">
        <v>80</v>
      </c>
      <c r="G60" s="84">
        <v>0.82</v>
      </c>
      <c r="H60" s="92">
        <v>-1327</v>
      </c>
      <c r="I60" s="87">
        <v>11177</v>
      </c>
      <c r="J60" s="98" t="s">
        <v>253</v>
      </c>
      <c r="K60" s="84" t="s">
        <v>219</v>
      </c>
      <c r="L60" s="84"/>
      <c r="M60" s="84"/>
      <c r="N60" s="84"/>
      <c r="O60" s="84">
        <v>2</v>
      </c>
      <c r="P60" s="84" t="s">
        <v>80</v>
      </c>
    </row>
    <row r="61" spans="1:16" ht="29" x14ac:dyDescent="0.35">
      <c r="A61" s="91">
        <v>45930</v>
      </c>
      <c r="B61" s="84">
        <v>24655</v>
      </c>
      <c r="C61" s="88">
        <f t="shared" si="0"/>
        <v>-672</v>
      </c>
      <c r="D61" s="93">
        <f t="shared" si="1"/>
        <v>-2.7256134658284324E-2</v>
      </c>
      <c r="E61" s="84" t="s">
        <v>88</v>
      </c>
      <c r="F61" s="84" t="s">
        <v>88</v>
      </c>
      <c r="G61" s="84">
        <v>0.54</v>
      </c>
      <c r="H61" s="92">
        <v>-19570</v>
      </c>
      <c r="I61" s="87">
        <v>17411</v>
      </c>
      <c r="J61" s="84"/>
      <c r="K61" s="90" t="s">
        <v>220</v>
      </c>
      <c r="L61" s="84"/>
      <c r="M61" s="84"/>
      <c r="N61" s="90" t="s">
        <v>201</v>
      </c>
      <c r="O61" s="84">
        <v>-8</v>
      </c>
      <c r="P61" s="84" t="s">
        <v>88</v>
      </c>
    </row>
    <row r="62" spans="1:16" x14ac:dyDescent="0.35">
      <c r="A62" s="91">
        <v>45937</v>
      </c>
      <c r="B62" s="84">
        <v>24895</v>
      </c>
      <c r="C62" s="85">
        <f t="shared" si="0"/>
        <v>240</v>
      </c>
      <c r="D62" s="86">
        <f t="shared" si="1"/>
        <v>9.6404900582446277E-3</v>
      </c>
      <c r="E62" s="84" t="s">
        <v>80</v>
      </c>
      <c r="F62" s="84" t="s">
        <v>80</v>
      </c>
      <c r="G62" s="84">
        <v>1.23</v>
      </c>
      <c r="H62" s="92">
        <v>-8347</v>
      </c>
      <c r="I62" s="87">
        <v>13013</v>
      </c>
      <c r="J62" s="84"/>
      <c r="K62" s="84" t="s">
        <v>221</v>
      </c>
      <c r="L62" s="84" t="s">
        <v>222</v>
      </c>
      <c r="M62" s="84"/>
      <c r="N62" s="84"/>
      <c r="O62" s="84">
        <v>1</v>
      </c>
      <c r="P62" s="84" t="s">
        <v>80</v>
      </c>
    </row>
    <row r="63" spans="1:16" ht="58" x14ac:dyDescent="0.35">
      <c r="A63" s="91">
        <v>45944</v>
      </c>
      <c r="B63" s="84">
        <v>25285</v>
      </c>
      <c r="C63" s="85">
        <f t="shared" si="0"/>
        <v>390</v>
      </c>
      <c r="D63" s="86">
        <f t="shared" si="1"/>
        <v>1.5424164524421594E-2</v>
      </c>
      <c r="E63" s="84" t="s">
        <v>81</v>
      </c>
      <c r="F63" s="84" t="s">
        <v>81</v>
      </c>
      <c r="G63" s="84">
        <v>1.41</v>
      </c>
      <c r="H63" s="85">
        <v>2976</v>
      </c>
      <c r="I63" s="87">
        <v>8391</v>
      </c>
      <c r="J63" s="84"/>
      <c r="K63" s="90" t="s">
        <v>223</v>
      </c>
      <c r="L63" s="90" t="s">
        <v>224</v>
      </c>
      <c r="M63" s="84"/>
      <c r="N63" s="84"/>
      <c r="O63" s="84">
        <v>5</v>
      </c>
      <c r="P63" s="84" t="s">
        <v>81</v>
      </c>
    </row>
    <row r="64" spans="1:16" x14ac:dyDescent="0.35">
      <c r="A64" s="91">
        <v>45950</v>
      </c>
      <c r="B64" s="84">
        <v>25710</v>
      </c>
      <c r="C64" s="85">
        <f t="shared" si="0"/>
        <v>425</v>
      </c>
      <c r="D64" s="86">
        <f t="shared" si="1"/>
        <v>1.6530532866588878E-2</v>
      </c>
      <c r="E64" s="84" t="s">
        <v>81</v>
      </c>
      <c r="F64" s="84" t="s">
        <v>81</v>
      </c>
      <c r="G64" s="84">
        <v>1.21</v>
      </c>
      <c r="H64" s="88">
        <v>-374</v>
      </c>
      <c r="I64" s="87">
        <v>16247</v>
      </c>
      <c r="J64" s="84" t="s">
        <v>225</v>
      </c>
      <c r="K64" s="84"/>
      <c r="L64" s="84" t="s">
        <v>226</v>
      </c>
      <c r="M64" s="84"/>
      <c r="N64" s="84"/>
      <c r="O64" s="84">
        <v>6</v>
      </c>
      <c r="P64" s="84" t="s">
        <v>81</v>
      </c>
    </row>
    <row r="65" spans="1:16" ht="29" x14ac:dyDescent="0.35">
      <c r="A65" s="91">
        <v>45958</v>
      </c>
      <c r="B65" s="84">
        <v>25795</v>
      </c>
      <c r="C65" s="85">
        <f t="shared" si="0"/>
        <v>85</v>
      </c>
      <c r="D65" s="86">
        <f t="shared" si="1"/>
        <v>3.2952122504361311E-3</v>
      </c>
      <c r="E65" s="84" t="s">
        <v>81</v>
      </c>
      <c r="F65" s="84" t="s">
        <v>88</v>
      </c>
      <c r="G65" s="84">
        <v>0.65</v>
      </c>
      <c r="H65" s="88">
        <v>-279</v>
      </c>
      <c r="I65" s="85">
        <v>5772</v>
      </c>
      <c r="J65" s="84"/>
      <c r="K65" s="90" t="s">
        <v>227</v>
      </c>
      <c r="L65" s="84"/>
      <c r="M65" s="84"/>
      <c r="N65" s="84"/>
      <c r="O65" s="84">
        <v>0</v>
      </c>
      <c r="P65" s="84" t="s">
        <v>80</v>
      </c>
    </row>
  </sheetData>
  <mergeCells count="4">
    <mergeCell ref="E1:F1"/>
    <mergeCell ref="H1:I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0228-FA7B-4854-8B76-CF0B97508BF9}">
  <dimension ref="A1:T11"/>
  <sheetViews>
    <sheetView workbookViewId="0">
      <selection activeCell="E15" sqref="E15"/>
    </sheetView>
  </sheetViews>
  <sheetFormatPr defaultRowHeight="14.5" x14ac:dyDescent="0.35"/>
  <cols>
    <col min="1" max="1" width="10.08984375" bestFit="1" customWidth="1"/>
    <col min="2" max="2" width="10.1796875" bestFit="1" customWidth="1"/>
    <col min="3" max="3" width="7.08984375" bestFit="1" customWidth="1"/>
    <col min="4" max="4" width="7.1796875" bestFit="1" customWidth="1"/>
    <col min="5" max="5" width="7.54296875" bestFit="1" customWidth="1"/>
    <col min="6" max="6" width="11.7265625" bestFit="1" customWidth="1"/>
    <col min="7" max="7" width="11" bestFit="1" customWidth="1"/>
    <col min="8" max="8" width="4.81640625" bestFit="1" customWidth="1"/>
    <col min="9" max="9" width="6.36328125" bestFit="1" customWidth="1"/>
    <col min="10" max="10" width="6.453125" bestFit="1" customWidth="1"/>
    <col min="11" max="11" width="7.54296875" bestFit="1" customWidth="1"/>
    <col min="12" max="12" width="7.7265625" bestFit="1" customWidth="1"/>
    <col min="13" max="13" width="9.08984375" bestFit="1" customWidth="1"/>
    <col min="14" max="14" width="21.453125" bestFit="1" customWidth="1"/>
    <col min="15" max="15" width="8.08984375" bestFit="1" customWidth="1"/>
    <col min="16" max="16" width="12.1796875" bestFit="1" customWidth="1"/>
    <col min="17" max="17" width="7.453125" bestFit="1" customWidth="1"/>
    <col min="18" max="18" width="8.08984375" bestFit="1" customWidth="1"/>
    <col min="19" max="19" width="6.1796875" bestFit="1" customWidth="1"/>
    <col min="20" max="20" width="11" bestFit="1" customWidth="1"/>
  </cols>
  <sheetData>
    <row r="1" spans="1:20" x14ac:dyDescent="0.35">
      <c r="A1" s="61" t="s">
        <v>233</v>
      </c>
      <c r="B1" s="61"/>
      <c r="C1" s="61"/>
      <c r="D1" s="61"/>
      <c r="E1" s="62"/>
      <c r="F1" s="63" t="s">
        <v>58</v>
      </c>
      <c r="G1" s="63"/>
      <c r="H1" s="63"/>
      <c r="I1" s="64" t="s">
        <v>59</v>
      </c>
      <c r="J1" s="64"/>
      <c r="K1" s="64"/>
      <c r="L1" s="64"/>
      <c r="M1" s="64"/>
      <c r="N1" s="65" t="s">
        <v>234</v>
      </c>
      <c r="O1" s="65"/>
      <c r="P1" s="66" t="s">
        <v>235</v>
      </c>
      <c r="Q1" s="66"/>
      <c r="R1" s="66"/>
      <c r="S1" s="67" t="s">
        <v>74</v>
      </c>
      <c r="T1" s="68" t="s">
        <v>236</v>
      </c>
    </row>
    <row r="2" spans="1:20" ht="43.5" x14ac:dyDescent="0.35">
      <c r="A2" s="69" t="s">
        <v>1</v>
      </c>
      <c r="B2" s="69" t="s">
        <v>1</v>
      </c>
      <c r="C2" s="69" t="s">
        <v>237</v>
      </c>
      <c r="D2" s="69" t="s">
        <v>238</v>
      </c>
      <c r="E2" s="70" t="s">
        <v>239</v>
      </c>
      <c r="F2" s="71" t="s">
        <v>240</v>
      </c>
      <c r="G2" s="71" t="s">
        <v>241</v>
      </c>
      <c r="H2" s="72" t="s">
        <v>68</v>
      </c>
      <c r="I2" s="73" t="s">
        <v>242</v>
      </c>
      <c r="J2" s="73" t="s">
        <v>243</v>
      </c>
      <c r="K2" s="74" t="s">
        <v>244</v>
      </c>
      <c r="L2" s="73" t="s">
        <v>245</v>
      </c>
      <c r="M2" s="73" t="s">
        <v>246</v>
      </c>
      <c r="N2" s="75" t="s">
        <v>71</v>
      </c>
      <c r="O2" s="75" t="s">
        <v>72</v>
      </c>
      <c r="P2" s="76" t="s">
        <v>247</v>
      </c>
      <c r="Q2" s="76" t="s">
        <v>71</v>
      </c>
      <c r="R2" s="76" t="s">
        <v>72</v>
      </c>
      <c r="S2" s="67"/>
      <c r="T2" s="68"/>
    </row>
    <row r="3" spans="1:20" x14ac:dyDescent="0.35">
      <c r="A3" s="2">
        <v>45551</v>
      </c>
      <c r="B3" s="1" t="s">
        <v>232</v>
      </c>
      <c r="C3" s="1">
        <v>25384</v>
      </c>
      <c r="D3" s="1">
        <v>28</v>
      </c>
      <c r="E3" s="60">
        <v>1.1000000000000001E-3</v>
      </c>
      <c r="F3" s="1" t="s">
        <v>80</v>
      </c>
      <c r="G3" s="1" t="s">
        <v>81</v>
      </c>
      <c r="H3" s="1">
        <v>0.99</v>
      </c>
      <c r="I3" s="77">
        <v>-1635</v>
      </c>
      <c r="J3" s="78">
        <v>754</v>
      </c>
      <c r="K3" s="60">
        <v>0.67800000000000005</v>
      </c>
      <c r="L3" s="60">
        <v>0.32200000000000001</v>
      </c>
      <c r="M3" s="60">
        <v>4.0000000000000001E-3</v>
      </c>
      <c r="N3" s="1"/>
      <c r="O3" s="1"/>
      <c r="P3" s="1"/>
      <c r="Q3" s="1"/>
      <c r="R3" s="1"/>
      <c r="S3" s="1">
        <v>1</v>
      </c>
      <c r="T3" s="1" t="s">
        <v>81</v>
      </c>
    </row>
    <row r="4" spans="1:20" ht="58" x14ac:dyDescent="0.35">
      <c r="A4" s="2">
        <v>45552</v>
      </c>
      <c r="B4" s="1" t="s">
        <v>228</v>
      </c>
      <c r="C4" s="1">
        <v>25418</v>
      </c>
      <c r="D4" s="1">
        <v>34</v>
      </c>
      <c r="E4" s="60">
        <v>1.2999999999999999E-3</v>
      </c>
      <c r="F4" s="1" t="s">
        <v>80</v>
      </c>
      <c r="G4" s="1" t="s">
        <v>81</v>
      </c>
      <c r="H4" s="1">
        <v>1.04</v>
      </c>
      <c r="I4" s="78">
        <v>483</v>
      </c>
      <c r="J4" s="78">
        <v>874</v>
      </c>
      <c r="K4" s="60">
        <v>0.68200000000000005</v>
      </c>
      <c r="L4" s="60">
        <v>0.318</v>
      </c>
      <c r="M4" s="60">
        <v>4.0000000000000001E-3</v>
      </c>
      <c r="N4" s="32" t="s">
        <v>248</v>
      </c>
      <c r="O4" s="1"/>
      <c r="P4" s="1"/>
      <c r="Q4" s="1"/>
      <c r="R4" s="1"/>
      <c r="S4" s="1">
        <v>4</v>
      </c>
      <c r="T4" s="1" t="s">
        <v>77</v>
      </c>
    </row>
    <row r="5" spans="1:20" x14ac:dyDescent="0.35">
      <c r="A5" s="2">
        <v>45553</v>
      </c>
      <c r="B5" s="1" t="s">
        <v>229</v>
      </c>
      <c r="C5" s="1">
        <v>25378</v>
      </c>
      <c r="D5" s="1">
        <v>-40</v>
      </c>
      <c r="E5" s="60">
        <v>-1.6000000000000001E-3</v>
      </c>
      <c r="F5" s="1" t="s">
        <v>80</v>
      </c>
      <c r="G5" s="1" t="s">
        <v>80</v>
      </c>
      <c r="H5" s="1">
        <v>0.9</v>
      </c>
      <c r="I5" s="79">
        <v>1154</v>
      </c>
      <c r="J5" s="78">
        <v>152</v>
      </c>
      <c r="K5" s="60">
        <v>0.68799999999999994</v>
      </c>
      <c r="L5" s="60">
        <v>0.312</v>
      </c>
      <c r="M5" s="60">
        <v>6.0000000000000001E-3</v>
      </c>
      <c r="N5" s="1" t="s">
        <v>249</v>
      </c>
      <c r="O5" s="1"/>
      <c r="P5" s="1"/>
      <c r="Q5" s="1" t="s">
        <v>105</v>
      </c>
      <c r="R5" s="1" t="s">
        <v>83</v>
      </c>
      <c r="S5" s="1">
        <v>3</v>
      </c>
      <c r="T5" s="1" t="s">
        <v>81</v>
      </c>
    </row>
    <row r="6" spans="1:20" x14ac:dyDescent="0.35">
      <c r="A6" s="2">
        <v>45554</v>
      </c>
      <c r="B6" s="1" t="s">
        <v>230</v>
      </c>
      <c r="C6" s="1">
        <v>25416</v>
      </c>
      <c r="D6" s="1">
        <v>38</v>
      </c>
      <c r="E6" s="60">
        <v>1.5E-3</v>
      </c>
      <c r="F6" s="1" t="s">
        <v>76</v>
      </c>
      <c r="G6" s="1" t="s">
        <v>80</v>
      </c>
      <c r="H6" s="1">
        <v>1.18</v>
      </c>
      <c r="I6" s="77">
        <v>-2548</v>
      </c>
      <c r="J6" s="79">
        <v>2013</v>
      </c>
      <c r="K6" s="60">
        <v>0.67700000000000005</v>
      </c>
      <c r="L6" s="60">
        <v>0.32300000000000001</v>
      </c>
      <c r="M6" s="60">
        <v>-1.0999999999999999E-2</v>
      </c>
      <c r="N6" s="1"/>
      <c r="O6" s="1"/>
      <c r="P6" s="1"/>
      <c r="Q6" s="1"/>
      <c r="R6" s="1"/>
      <c r="S6" s="1">
        <v>1</v>
      </c>
      <c r="T6" s="1" t="s">
        <v>80</v>
      </c>
    </row>
    <row r="7" spans="1:20" x14ac:dyDescent="0.35">
      <c r="A7" s="2">
        <v>45555</v>
      </c>
      <c r="B7" s="1" t="s">
        <v>231</v>
      </c>
      <c r="C7" s="1">
        <v>25791</v>
      </c>
      <c r="D7" s="78">
        <v>375</v>
      </c>
      <c r="E7" s="60">
        <v>1.4800000000000001E-2</v>
      </c>
      <c r="F7" s="1" t="s">
        <v>81</v>
      </c>
      <c r="G7" s="1" t="s">
        <v>81</v>
      </c>
      <c r="H7" s="1">
        <v>1.49</v>
      </c>
      <c r="I7" s="79">
        <v>14064</v>
      </c>
      <c r="J7" s="77">
        <v>-4427</v>
      </c>
      <c r="K7" s="60">
        <v>0.75900000000000001</v>
      </c>
      <c r="L7" s="60">
        <v>0.24099999999999999</v>
      </c>
      <c r="M7" s="60">
        <v>8.2000000000000003E-2</v>
      </c>
      <c r="N7" s="1"/>
      <c r="O7" s="1"/>
      <c r="P7" s="1"/>
      <c r="Q7" s="1" t="s">
        <v>91</v>
      </c>
      <c r="R7" s="1" t="s">
        <v>83</v>
      </c>
      <c r="S7" s="1">
        <v>8</v>
      </c>
      <c r="T7" s="1" t="s">
        <v>81</v>
      </c>
    </row>
    <row r="8" spans="1:20" x14ac:dyDescent="0.35">
      <c r="A8" s="2">
        <v>45558</v>
      </c>
      <c r="B8" s="1" t="s">
        <v>232</v>
      </c>
      <c r="C8" s="1">
        <v>25939</v>
      </c>
      <c r="D8" s="1">
        <v>148</v>
      </c>
      <c r="E8" s="60">
        <v>5.7000000000000002E-3</v>
      </c>
      <c r="F8" s="1" t="s">
        <v>81</v>
      </c>
      <c r="G8" s="1" t="s">
        <v>81</v>
      </c>
      <c r="H8" s="1">
        <v>1.42</v>
      </c>
      <c r="I8" s="78">
        <v>404</v>
      </c>
      <c r="J8" s="79">
        <v>1023</v>
      </c>
      <c r="K8" s="80">
        <v>0.75</v>
      </c>
      <c r="L8" s="60">
        <v>0.25</v>
      </c>
      <c r="M8" s="60">
        <v>-8.9999999999999993E-3</v>
      </c>
      <c r="N8" s="1"/>
      <c r="O8" s="1"/>
      <c r="P8" s="1"/>
      <c r="Q8" s="1" t="s">
        <v>91</v>
      </c>
      <c r="R8" s="1" t="s">
        <v>83</v>
      </c>
      <c r="S8" s="1">
        <v>6</v>
      </c>
      <c r="T8" s="1" t="s">
        <v>81</v>
      </c>
    </row>
    <row r="9" spans="1:20" x14ac:dyDescent="0.35">
      <c r="A9" s="2">
        <v>45559</v>
      </c>
      <c r="B9" s="1" t="s">
        <v>228</v>
      </c>
      <c r="C9" s="1">
        <v>25940</v>
      </c>
      <c r="D9" s="1">
        <v>1</v>
      </c>
      <c r="E9" s="60">
        <v>1E-4</v>
      </c>
      <c r="F9" s="1" t="s">
        <v>80</v>
      </c>
      <c r="G9" s="1" t="s">
        <v>81</v>
      </c>
      <c r="H9" s="1">
        <v>1.28</v>
      </c>
      <c r="I9" s="77">
        <v>-2784</v>
      </c>
      <c r="J9" s="79">
        <v>3868</v>
      </c>
      <c r="K9" s="60">
        <v>0.72299999999999998</v>
      </c>
      <c r="L9" s="60">
        <v>0.27700000000000002</v>
      </c>
      <c r="M9" s="60">
        <v>-2.7E-2</v>
      </c>
      <c r="N9" s="1"/>
      <c r="O9" s="1"/>
      <c r="P9" s="1"/>
      <c r="Q9" s="1"/>
      <c r="R9" s="1"/>
      <c r="S9" s="1">
        <v>0</v>
      </c>
      <c r="T9" s="1" t="s">
        <v>80</v>
      </c>
    </row>
    <row r="10" spans="1:20" x14ac:dyDescent="0.35">
      <c r="A10" s="2">
        <v>45560</v>
      </c>
      <c r="B10" s="1" t="s">
        <v>229</v>
      </c>
      <c r="C10" s="1">
        <v>25004</v>
      </c>
      <c r="D10" s="1">
        <v>64</v>
      </c>
      <c r="E10" s="60">
        <v>2.5000000000000001E-3</v>
      </c>
      <c r="F10" s="1" t="s">
        <v>81</v>
      </c>
      <c r="G10" s="1" t="s">
        <v>77</v>
      </c>
      <c r="H10" s="1">
        <v>1.31</v>
      </c>
      <c r="I10" s="81">
        <v>-974</v>
      </c>
      <c r="J10" s="79">
        <v>1779</v>
      </c>
      <c r="K10" s="60">
        <v>0.753</v>
      </c>
      <c r="L10" s="60">
        <v>0.247</v>
      </c>
      <c r="M10" s="60">
        <v>0.03</v>
      </c>
      <c r="N10" s="1"/>
      <c r="O10" s="1"/>
      <c r="P10" s="1"/>
      <c r="Q10" s="1"/>
      <c r="R10" s="1" t="s">
        <v>83</v>
      </c>
      <c r="S10" s="1">
        <v>3</v>
      </c>
      <c r="T10" s="1" t="s">
        <v>81</v>
      </c>
    </row>
    <row r="11" spans="1:20" x14ac:dyDescent="0.35">
      <c r="A11" s="2">
        <v>45561</v>
      </c>
      <c r="B11" s="1" t="s">
        <v>230</v>
      </c>
      <c r="C11" s="1">
        <v>26216</v>
      </c>
      <c r="D11" s="1">
        <v>212</v>
      </c>
      <c r="E11" s="60">
        <v>8.2000000000000007E-3</v>
      </c>
      <c r="F11" s="1" t="s">
        <v>81</v>
      </c>
      <c r="G11" s="1" t="s">
        <v>81</v>
      </c>
      <c r="H11" s="1">
        <v>1.43</v>
      </c>
      <c r="I11" s="78">
        <v>630</v>
      </c>
      <c r="J11" s="79">
        <v>2405</v>
      </c>
      <c r="K11" s="60">
        <v>0.79800000000000004</v>
      </c>
      <c r="L11" s="60">
        <v>0.20200000000000001</v>
      </c>
      <c r="M11" s="60">
        <v>4.4999999999999998E-2</v>
      </c>
      <c r="N11" s="1"/>
      <c r="O11" s="1"/>
      <c r="P11" s="1"/>
      <c r="Q11" s="1" t="s">
        <v>209</v>
      </c>
      <c r="R11" s="1"/>
      <c r="S11" s="1">
        <v>8</v>
      </c>
      <c r="T11" s="1" t="s">
        <v>81</v>
      </c>
    </row>
  </sheetData>
  <mergeCells count="5">
    <mergeCell ref="A1:D1"/>
    <mergeCell ref="F1:H1"/>
    <mergeCell ref="I1:M1"/>
    <mergeCell ref="N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Random_journal</vt:lpstr>
      <vt:lpstr>Weekly_analysis_sample</vt:lpstr>
      <vt:lpstr>Daily_Analysis_sample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Amiyo Biswas</dc:creator>
  <cp:lastModifiedBy>Amiyo Biswas</cp:lastModifiedBy>
  <dcterms:created xsi:type="dcterms:W3CDTF">2026-07-06T05:20:51Z</dcterms:created>
  <dcterms:modified xsi:type="dcterms:W3CDTF">2026-07-06T05:36:24Z</dcterms:modified>
</cp:coreProperties>
</file>